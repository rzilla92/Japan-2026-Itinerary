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yX13\Documents\Japan travel planner\source\"/>
    </mc:Choice>
  </mc:AlternateContent>
  <xr:revisionPtr revIDLastSave="0" documentId="13_ncr:1_{820025F1-0922-458F-A58B-3D30C1ECD0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meline" sheetId="1" r:id="rId1"/>
    <sheet name="Accomodations" sheetId="2" r:id="rId2"/>
    <sheet name="Transport Summary" sheetId="3" r:id="rId3"/>
    <sheet name="19-10 Day 1" sheetId="4" r:id="rId4"/>
    <sheet name="20-10 Day 2" sheetId="5" r:id="rId5"/>
    <sheet name="21-10 Day 3" sheetId="6" r:id="rId6"/>
    <sheet name="22-10 Day 4" sheetId="7" r:id="rId7"/>
    <sheet name="23-10 Day 5" sheetId="8" r:id="rId8"/>
    <sheet name="24-10 Day 6" sheetId="9" r:id="rId9"/>
    <sheet name="25-10 Day 7" sheetId="10" r:id="rId10"/>
    <sheet name="26-10 Day 8" sheetId="11" r:id="rId11"/>
    <sheet name="27-10 Day 9" sheetId="12" r:id="rId12"/>
    <sheet name="28-10 Day 10" sheetId="13" r:id="rId13"/>
    <sheet name="29-10 Day 11" sheetId="14" r:id="rId14"/>
    <sheet name="30-10 Day 12" sheetId="15" r:id="rId15"/>
    <sheet name="31-10 Day 13" sheetId="16" r:id="rId16"/>
    <sheet name="01-11 Day 14" sheetId="17" r:id="rId17"/>
    <sheet name="02-11 Day 15 Departure" sheetId="18" r:id="rId18"/>
    <sheet name="Luggage Forwarding" sheetId="19" r:id="rId19"/>
    <sheet name="Useful Phrase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3" l="1"/>
  <c r="F70" i="3"/>
  <c r="F68" i="3"/>
  <c r="F71" i="3" l="1"/>
</calcChain>
</file>

<file path=xl/sharedStrings.xml><?xml version="1.0" encoding="utf-8"?>
<sst xmlns="http://schemas.openxmlformats.org/spreadsheetml/2006/main" count="2760" uniqueCount="1836">
  <si>
    <t>Day</t>
  </si>
  <si>
    <t>Day 0</t>
  </si>
  <si>
    <t>Date</t>
  </si>
  <si>
    <t>Main Location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</si>
  <si>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</si>
  <si>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</si>
  <si>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</si>
  <si>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</si>
  <si>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</si>
  <si>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</si>
  <si>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</si>
  <si>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</si>
  <si>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</si>
  <si>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</si>
  <si>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19-10-26</t>
  </si>
  <si>
    <t>Nagoya</t>
  </si>
  <si>
    <t>Day 11</t>
  </si>
  <si>
    <t>Day 12</t>
  </si>
  <si>
    <t>Day 13</t>
  </si>
  <si>
    <t>Day 14</t>
  </si>
  <si>
    <t>Day 15</t>
  </si>
  <si>
    <t>Day 16</t>
  </si>
  <si>
    <t>City/Town</t>
  </si>
  <si>
    <t>Accommodation Name</t>
  </si>
  <si>
    <t>Nights</t>
  </si>
  <si>
    <t>Address</t>
  </si>
  <si>
    <t>From</t>
  </si>
  <si>
    <t>Contact Number</t>
  </si>
  <si>
    <t>To</t>
  </si>
  <si>
    <t>Check-in / Check-out</t>
  </si>
  <si>
    <t>Payment</t>
  </si>
  <si>
    <t>Coin Laundry On-site?</t>
  </si>
  <si>
    <t>Cost ¥</t>
  </si>
  <si>
    <t>Medan</t>
  </si>
  <si>
    <t>Transportation Mode</t>
  </si>
  <si>
    <t>Dep. Time</t>
  </si>
  <si>
    <t>ETA</t>
  </si>
  <si>
    <t>Duration</t>
  </si>
  <si>
    <t>Lines/Direction</t>
  </si>
  <si>
    <t>Main Places</t>
  </si>
  <si>
    <t>Note</t>
  </si>
  <si>
    <t>Description</t>
  </si>
  <si>
    <t>Nagoya Station</t>
  </si>
  <si>
    <t>Main transit and arrival hub, luggage lockers, and underground dining avenues.</t>
  </si>
  <si>
    <t>VIA INN NAGOYA SHINKANSENGUCHI - JR WEST GROUP</t>
  </si>
  <si>
    <t>Osu</t>
  </si>
  <si>
    <t>9-18 Tsubaki-cho, Nakamura-ku, Nagoya, Aichi 453-0015</t>
  </si>
  <si>
    <t>Historic merchant area centered on Osu Kannon Temple and vibrant covered shopping arcades.</t>
  </si>
  <si>
    <t>+81 52-453-5489</t>
  </si>
  <si>
    <t>Sakae</t>
  </si>
  <si>
    <t>Central commercial and entertainment hub featuring Oasis 21 and Nagoya TV Tower.</t>
  </si>
  <si>
    <t>Check-in: 15:00
Check-out: 10:00</t>
  </si>
  <si>
    <t>Day 1
Nagoya</t>
  </si>
  <si>
    <t>Yes (2nd floor)</t>
  </si>
  <si>
    <t>Time Range</t>
  </si>
  <si>
    <t>Activity</t>
  </si>
  <si>
    <t>Return</t>
  </si>
  <si>
    <t>Details / Notes</t>
  </si>
  <si>
    <t>10月19日</t>
  </si>
  <si>
    <t>名古屋</t>
  </si>
  <si>
    <t>ヴィアイン名古屋新幹線口</t>
  </si>
  <si>
    <t>12:30 – 13:00</t>
  </si>
  <si>
    <t>Singapore</t>
  </si>
  <si>
    <t>1泊</t>
  </si>
  <si>
    <t>Arrival at Nagoya Station</t>
  </si>
  <si>
    <t>〒453-0015 愛知県名古屋市中村区椿町9-18</t>
  </si>
  <si>
    <t>Arrive via train/Shinkansen; drop large luggage at hotel or station lockers.</t>
  </si>
  <si>
    <t>052-453-5489</t>
  </si>
  <si>
    <t>チェックイン 15:00
チェックアウト 10:00</t>
  </si>
  <si>
    <t>あり（2階）</t>
  </si>
  <si>
    <t>EN</t>
  </si>
  <si>
    <t>13:00 – 13:45</t>
  </si>
  <si>
    <t>Lunch (Station Area)</t>
  </si>
  <si>
    <t>Eat around Nagoya Station (simple miso katsu, kishimen noodles, or teishoku).</t>
  </si>
  <si>
    <t>Matsumoto</t>
  </si>
  <si>
    <t>Richmond Hotel Matsumoto</t>
  </si>
  <si>
    <t>1-10-7 Chuo, Matsumoto, Nagano 390-0811</t>
  </si>
  <si>
    <t>+81 263-37-5000</t>
  </si>
  <si>
    <t>14:00 – 15:15</t>
  </si>
  <si>
    <t>Check-in: 14:00
Check-out: 11:00</t>
  </si>
  <si>
    <t>Nagoya Castle</t>
  </si>
  <si>
    <t>Yes (3rd &amp; 7th floors)</t>
  </si>
  <si>
    <t>Subway to Nagoya Castle; explore grounds, hommaru palace area, exterior photos (~90 min max).</t>
  </si>
  <si>
    <t>Chubu Airport</t>
  </si>
  <si>
    <t>10月20日</t>
  </si>
  <si>
    <t>松本</t>
  </si>
  <si>
    <t>リッチモンドホテル松本</t>
  </si>
  <si>
    <t>3泊</t>
  </si>
  <si>
    <t>15:30 – 17:00</t>
  </si>
  <si>
    <t>〒390-0811 長野県松本市中央1-10-7</t>
  </si>
  <si>
    <t>Osu Shopping Arcade</t>
  </si>
  <si>
    <t>Meitetsu Nagoya Station</t>
  </si>
  <si>
    <t>0263-37-5000</t>
  </si>
  <si>
    <t>Subway to Osu Kannon; wander historic streets, sample street snacks, and browse shops.</t>
  </si>
  <si>
    <t>Vending</t>
  </si>
  <si>
    <t>チェックイン 14:00
チェックアウト 11:00</t>
  </si>
  <si>
    <t>あり（3階・7階）</t>
  </si>
  <si>
    <t>17:20 – 17:45</t>
  </si>
  <si>
    <t>Overnight/Bases</t>
  </si>
  <si>
    <t>Hotel Check-in (Sakae)</t>
  </si>
  <si>
    <t>Transit to Sakae; check in at hotel, unpack essentials, short rest.</t>
  </si>
  <si>
    <t>Okuhida</t>
  </si>
  <si>
    <t>Kazeya Ryokan</t>
  </si>
  <si>
    <t>146-2 Okuhida Onsen-go Kansaka, Takayama, Gifu 506-1422</t>
  </si>
  <si>
    <t>+81 578-89-0112</t>
  </si>
  <si>
    <t>μSKY Limited Express</t>
  </si>
  <si>
    <t>17:45 – 18:30</t>
  </si>
  <si>
    <t>Luggage Forwarding</t>
  </si>
  <si>
    <t>Nagoya 🧳</t>
  </si>
  <si>
    <t>No (External laundry service available)</t>
  </si>
  <si>
    <t>Arrange luggage forwarding (takkyubin) at front desk; confirm onward destination and delivery.</t>
  </si>
  <si>
    <t>TBD</t>
  </si>
  <si>
    <t>10月23日</t>
  </si>
  <si>
    <t>奥飛騨</t>
  </si>
  <si>
    <t>旅荘 風の谷の庵 (風家 Kazeya)</t>
  </si>
  <si>
    <t>〒506-1422 岐阜県高山市奥飛騨温泉郷神坂146-2</t>
  </si>
  <si>
    <t>0578-89-0112</t>
  </si>
  <si>
    <t>18:45 – 19:30</t>
  </si>
  <si>
    <t>28 mins</t>
  </si>
  <si>
    <t>Sakae Evening Stroll</t>
  </si>
  <si>
    <t>なし（ランドリーサービス対応あり）</t>
  </si>
  <si>
    <t>Walk around Oasis 21 glass roof and illuminated Nagoya TV Tower (Mirai Tower).</t>
  </si>
  <si>
    <t>Takayama</t>
  </si>
  <si>
    <t xml:space="preserve">Meitetsu </t>
  </si>
  <si>
    <t>Washington Hotel Hida takayama</t>
  </si>
  <si>
    <t>5-20 Hanasato-machi, Takayama, Gifu 506-0026</t>
  </si>
  <si>
    <t>19:30 – 20:30</t>
  </si>
  <si>
    <t>+81 577-37-0410</t>
  </si>
  <si>
    <t>Dinner</t>
  </si>
  <si>
    <t>Check-in: 14:00
Check-out: 10:00</t>
  </si>
  <si>
    <t>Eat in Sakae or station area; pick a famous Nagoya regional meal.</t>
  </si>
  <si>
    <t>Yes</t>
  </si>
  <si>
    <t>10月24日</t>
  </si>
  <si>
    <t>高山</t>
  </si>
  <si>
    <t>飛騨高山ワシントンホテルプラザ</t>
  </si>
  <si>
    <t>20:30 onwards</t>
  </si>
  <si>
    <t>〒506-0026 岐阜県高山市花里町5-20</t>
  </si>
  <si>
    <t>Rest &amp; Trail Prep</t>
  </si>
  <si>
    <t>0577-37-0410</t>
  </si>
  <si>
    <t>Daytrips</t>
  </si>
  <si>
    <t>Return to hotel early; pack lightweight daypack and rest for early Magome hike.</t>
  </si>
  <si>
    <t>チェックイン 14:00
チェックアウト 10:00</t>
  </si>
  <si>
    <t>あり</t>
  </si>
  <si>
    <t>Kanazawa</t>
  </si>
  <si>
    <t>Smile Hotel Premium Kanazawa Higashiguchi Ekimae</t>
  </si>
  <si>
    <t>3-8 Horikawa-machi, Kanazawa, Ishikawa 920-0847</t>
  </si>
  <si>
    <t>+81 76-203-6611</t>
  </si>
  <si>
    <t>Yes (5th floor)</t>
  </si>
  <si>
    <t>10月25日</t>
  </si>
  <si>
    <t>Magome</t>
  </si>
  <si>
    <t>金沢</t>
  </si>
  <si>
    <t>Recommendations &amp; Options</t>
  </si>
  <si>
    <t>JP</t>
  </si>
  <si>
    <t>スマイルホテルプレミアム金沢東口駅前</t>
  </si>
  <si>
    <t>2泊</t>
  </si>
  <si>
    <t>〒920-0847 石川県金沢市堀川町3-8</t>
  </si>
  <si>
    <t>中部国際空港駅</t>
  </si>
  <si>
    <t>076-203-6611</t>
  </si>
  <si>
    <t>名鉄名古屋駅</t>
  </si>
  <si>
    <t>あり（5階）</t>
  </si>
  <si>
    <t>Nagano</t>
  </si>
  <si>
    <t>Livemax Premium Nagano Ekimae</t>
  </si>
  <si>
    <t>1361 Minami-chitose, Nagano, Nagano 380-0823</t>
  </si>
  <si>
    <t>+81 26-225-1050</t>
  </si>
  <si>
    <t>10月27日</t>
  </si>
  <si>
    <t>長野</t>
  </si>
  <si>
    <t>天然温泉 ホテルリブマックス PREMIUM長野駅前</t>
  </si>
  <si>
    <t>〒380-0823 長野県長野市南千歳1361</t>
  </si>
  <si>
    <t>026-225-1050</t>
  </si>
  <si>
    <t>Name / Location</t>
  </si>
  <si>
    <t>Tokyo</t>
  </si>
  <si>
    <t>Hotel Comfact Ueno</t>
  </si>
  <si>
    <t>3-15-5 Shitaya, Taito-ku, Tokyo 110-0004</t>
  </si>
  <si>
    <t>+81 3-6802-7167</t>
  </si>
  <si>
    <t>Check-in: 15:00
Check-out: 11:00</t>
  </si>
  <si>
    <t>No coin laundry on-site</t>
  </si>
  <si>
    <t>Details / Specialty</t>
  </si>
  <si>
    <t>🧳</t>
  </si>
  <si>
    <t>10月29日</t>
  </si>
  <si>
    <t>東京</t>
  </si>
  <si>
    <t>ホテルコンファクト上野</t>
  </si>
  <si>
    <t>名鉄ミュースカイ</t>
  </si>
  <si>
    <t>Luggage Forward</t>
  </si>
  <si>
    <t>4泊</t>
  </si>
  <si>
    <t>〒110-0004 東京都台東区下谷3-15-5</t>
  </si>
  <si>
    <t>03-6802-7167</t>
  </si>
  <si>
    <t>チェックイン 15:00
チェックアウト 11:00</t>
  </si>
  <si>
    <t>Tsumago</t>
  </si>
  <si>
    <t>Places of Interest</t>
  </si>
  <si>
    <t>館内にコインランドリーなし</t>
  </si>
  <si>
    <t>♨️</t>
  </si>
  <si>
    <t>Onsen Stay</t>
  </si>
  <si>
    <t>Matsumoto 🧳</t>
  </si>
  <si>
    <t>Option 1: Nagoya Castle</t>
  </si>
  <si>
    <t>Nagoya Castle &amp; Hommaru</t>
  </si>
  <si>
    <t>Iconic golden shachihoko roof ornaments and reconstructed Edo palace.</t>
  </si>
  <si>
    <t>(Anywhere)</t>
  </si>
  <si>
    <t>Nagoya Subway 24-hour Ticket</t>
  </si>
  <si>
    <t>n/a</t>
  </si>
  <si>
    <t>Option 2: Oasis 21 &amp; TV Tower</t>
  </si>
  <si>
    <t>Nagoya City Rapid Transit</t>
  </si>
  <si>
    <t>Sakae District</t>
  </si>
  <si>
    <t>Modern spaceship glass roof structure and panoramic night illumination.</t>
  </si>
  <si>
    <t>Dining</t>
  </si>
  <si>
    <t>Breakfast Option</t>
  </si>
  <si>
    <t>Narai</t>
  </si>
  <si>
    <t>Nagoya Station Cafe / Konbini</t>
  </si>
  <si>
    <t>Quick morning drip coffee, pastries, or breakfast onigiri at the station.</t>
  </si>
  <si>
    <t>名古屋駅</t>
  </si>
  <si>
    <t>Lunch Option</t>
  </si>
  <si>
    <t>Okuhida Onsenkyo</t>
  </si>
  <si>
    <t>地下鉄全線24時間券</t>
  </si>
  <si>
    <t>Esca Underground Kishimen</t>
  </si>
  <si>
    <t>Authentic flat kishimen noodles in hot bonito broth at station platforms or mall.</t>
  </si>
  <si>
    <t>名古屋市高速度鉄道</t>
  </si>
  <si>
    <t>Dinner Option 1: Tebasaki</t>
  </si>
  <si>
    <t>Sekai no Yamachan (Sakae)</t>
  </si>
  <si>
    <t>Famous peppery fried chicken wings paired with local craft beer.</t>
  </si>
  <si>
    <t>Dinner Option 2: Miso Katsu</t>
  </si>
  <si>
    <t>Yabaton (Nagoya Station / Sakae)</t>
  </si>
  <si>
    <t>Signature crispy pork cutlets smothered in rich, savory red Hatcho miso sauce.</t>
  </si>
  <si>
    <t>Dinner Option 3: Hitsumabushi</t>
  </si>
  <si>
    <t>Atsuta Houraiken / Station Area</t>
  </si>
  <si>
    <t>Nagoya specialty grilled freshwater eel served over rice in three distinct styles.</t>
  </si>
  <si>
    <t>Snacks &amp; Street Food</t>
  </si>
  <si>
    <t>Day 2
Nakasendo</t>
  </si>
  <si>
    <t xml:space="preserve">Kamikochi </t>
  </si>
  <si>
    <t>Snack Option 1</t>
  </si>
  <si>
    <t>Ogura Toast</t>
  </si>
  <si>
    <t>Classic Nagoya cafe toast topped with sweet red azuki bean paste and butter.</t>
  </si>
  <si>
    <t>Snack Option 2</t>
  </si>
  <si>
    <t>Osu Steamed Buns &amp; Street Bites</t>
  </si>
  <si>
    <t>Fresh savory buns, dango skewers, and sweet treats in Osu covered shopping street.</t>
  </si>
  <si>
    <t>Nakatsugawa</t>
  </si>
  <si>
    <t>IC card</t>
  </si>
  <si>
    <t>Shopping &amp; Souvenirs</t>
  </si>
  <si>
    <t>Local Train</t>
  </si>
  <si>
    <t>Shopping Option 1</t>
  </si>
  <si>
    <t>Osu Shopping Arcades</t>
  </si>
  <si>
    <t>Vibrant labyrinth of over 1,200 shops featuring fashion, vintage goods, and electronics.</t>
  </si>
  <si>
    <t>Shopping Option 2</t>
  </si>
  <si>
    <t xml:space="preserve"> 1h 24min</t>
  </si>
  <si>
    <t>Chuo Line(JR Central) (For Nakatsugawa)</t>
  </si>
  <si>
    <t>Sakae Department Stores &amp; Meitetsu</t>
  </si>
  <si>
    <t>Two time option for this route
early option w/ 6 mins transfer window
later option w/ longer wait</t>
  </si>
  <si>
    <t>High-end boutiques, local confectionery gift sets, and department store food halls.</t>
  </si>
  <si>
    <t>Shirakawa-go</t>
  </si>
  <si>
    <t>中津川</t>
  </si>
  <si>
    <t>中央本線（東海）(中津川行)</t>
  </si>
  <si>
    <t>Kanazawa 🧳</t>
  </si>
  <si>
    <t>Nakatsugawa Eki mae{Kitaena Kotsu}</t>
  </si>
  <si>
    <t>Magome{Kitaena Kotsu}</t>
  </si>
  <si>
    <t>Cash</t>
  </si>
  <si>
    <t>Kitaena Kotsu Bus</t>
  </si>
  <si>
    <t>Nagano 🧳</t>
  </si>
  <si>
    <t>25 min</t>
  </si>
  <si>
    <t>[M] Magome Line For Magome{Kitaena Kotsu}</t>
  </si>
  <si>
    <t>中津川駅前〔北恵那交通〕</t>
  </si>
  <si>
    <t>馬籠〔北恵那交通〕</t>
  </si>
  <si>
    <t>[Ｍ］馬籠線 馬籠〔北恵那交通〕 行</t>
  </si>
  <si>
    <t>Togakushi</t>
  </si>
  <si>
    <t>Nagiso</t>
  </si>
  <si>
    <t>Tokyo🧳</t>
  </si>
  <si>
    <t>2h 14min</t>
  </si>
  <si>
    <t>Chuo Line(JR Central) For Matsumoto</t>
  </si>
  <si>
    <t>2 Options, refer to timetable</t>
  </si>
  <si>
    <t>Nikko</t>
  </si>
  <si>
    <t>南木曽</t>
  </si>
  <si>
    <t>中央本線（東海） 松本 行</t>
  </si>
  <si>
    <t>Day 3
Hotaka</t>
  </si>
  <si>
    <t>Hotaka</t>
  </si>
  <si>
    <t>any</t>
  </si>
  <si>
    <t>27 min</t>
  </si>
  <si>
    <t>Oito Line (JR East)</t>
  </si>
  <si>
    <t>穂高</t>
  </si>
  <si>
    <t>大糸線（東日本)</t>
  </si>
  <si>
    <t>N/A</t>
  </si>
  <si>
    <t>Day 5
Kamikochi - Okuhida</t>
  </si>
  <si>
    <t>Matsumoto Bus Terminal</t>
  </si>
  <si>
    <t>Taisho Pond</t>
  </si>
  <si>
    <t>Reserve online</t>
  </si>
  <si>
    <t>Alpico Bus</t>
  </si>
  <si>
    <t>1h 45min</t>
  </si>
  <si>
    <t>National Liner Alpico Bus</t>
  </si>
  <si>
    <t>BOOK 1 Month in advance!</t>
  </si>
  <si>
    <t>松本バスターミナル</t>
  </si>
  <si>
    <t>大正池</t>
  </si>
  <si>
    <t>松本バスターミナル〔アルピコ交通［松本地区］〕</t>
  </si>
  <si>
    <t>Kamikochi Bus Terminal</t>
  </si>
  <si>
    <t>Hirayu</t>
  </si>
  <si>
    <t>Ticket Machine</t>
  </si>
  <si>
    <t>Nohi Bus</t>
  </si>
  <si>
    <t>25min</t>
  </si>
  <si>
    <t>Nohi Bus to Hirayu</t>
  </si>
  <si>
    <t>Timetable</t>
  </si>
  <si>
    <t>Unazuki Onsen ♨️</t>
  </si>
  <si>
    <t>K30 上高地バスターミナル</t>
  </si>
  <si>
    <t>HO37 平湯温泉</t>
  </si>
  <si>
    <t>濃飛バス</t>
  </si>
  <si>
    <t>Day 6
Kaze-ya to Takayama</t>
  </si>
  <si>
    <t>Shinhotaka Onsen-guchi</t>
  </si>
  <si>
    <t>Nohi Bus to Shinhotaka via Fukuji Onsen</t>
  </si>
  <si>
    <t>H55 新穂高温泉口</t>
  </si>
  <si>
    <t>Takayama Bus Terminal</t>
  </si>
  <si>
    <t>Hourly</t>
  </si>
  <si>
    <t>1h 30min</t>
  </si>
  <si>
    <t>Nohi Bus to Takayama Nohi Bus Center</t>
  </si>
  <si>
    <t>timetable</t>
  </si>
  <si>
    <t>高山濃飛バスセンター</t>
  </si>
  <si>
    <t>Day 7
Shirakawa-go &amp; Kanazawa</t>
  </si>
  <si>
    <t>Shirakawa-go (Ogimachi)</t>
  </si>
  <si>
    <t>50min</t>
  </si>
  <si>
    <t>Nohi Bus to Kanazawa/Takaoka</t>
  </si>
  <si>
    <t>BOOK 1 Month in advance!
-
timetable</t>
  </si>
  <si>
    <t>白川郷 (荻町)</t>
  </si>
  <si>
    <t>Kanazawa Station</t>
  </si>
  <si>
    <t>1h 25 min</t>
  </si>
  <si>
    <t>金沢駅</t>
  </si>
  <si>
    <t>Day 8 
Kanazawa</t>
  </si>
  <si>
    <t>Shirakawa-Go ♨️</t>
  </si>
  <si>
    <t>Kanazawa Stn East Gate Bus terminal #7</t>
  </si>
  <si>
    <t>Hashiba-cho</t>
  </si>
  <si>
    <t>Hokutetsu Kanazawa Loop Bus</t>
  </si>
  <si>
    <t>Kanazawa Loop Bus (Right Loop / RL)</t>
  </si>
  <si>
    <t>金沢駅東口 7番のりば</t>
  </si>
  <si>
    <t>橋場町</t>
  </si>
  <si>
    <t>Kenrokuen-gusa・Kanazawa Castle Park</t>
  </si>
  <si>
    <t>兼六園下・金沢城公園</t>
  </si>
  <si>
    <t>Korinbo</t>
  </si>
  <si>
    <t>Kanazawa-Station East Gate Bus Terminal</t>
  </si>
  <si>
    <t>香林坊</t>
  </si>
  <si>
    <t>金沢駅東口</t>
  </si>
  <si>
    <t>Day 9
Nagano</t>
  </si>
  <si>
    <t>Hokuriku Shinkansen</t>
  </si>
  <si>
    <t>1h 26min</t>
  </si>
  <si>
    <t>Hakutaka No.564 (Series E7 and W7) (For Tokyo)</t>
  </si>
  <si>
    <t>BOOK 1 Month in advance!
Even Car Number!
consider 12:51 Kagayaki too</t>
  </si>
  <si>
    <t>長野駅</t>
  </si>
  <si>
    <t>北陸新幹線</t>
  </si>
  <si>
    <t>はくたか564号（E7/W7系）(東京行)</t>
  </si>
  <si>
    <t>Day 10
Togakushi</t>
  </si>
  <si>
    <t>Nagano Eki{Alpico Kotsu [Nagano District]}</t>
  </si>
  <si>
    <t>Path to Kagami Pond</t>
  </si>
  <si>
    <t>Alpiko Kotsu</t>
  </si>
  <si>
    <t>55 min</t>
  </si>
  <si>
    <t>長野駅〔アルピコ交通［長野地区］〕</t>
  </si>
  <si>
    <t>観光特急戸隠線〔アルピコ交通［長野地区］〕</t>
  </si>
  <si>
    <t>Togakushi Chusha</t>
  </si>
  <si>
    <t>58 min</t>
  </si>
  <si>
    <t>Ueno</t>
  </si>
  <si>
    <t>1h 14min</t>
  </si>
  <si>
    <t>Dept.Kagayaki (Series E7 and W7) For Tokyo</t>
  </si>
  <si>
    <t>BOOK 1 Month in advance!
Even Car Number!</t>
  </si>
  <si>
    <t>上野</t>
  </si>
  <si>
    <t>始発かがやき（E7/W7系） 東京 行</t>
  </si>
  <si>
    <t>Day 12 - 14</t>
  </si>
  <si>
    <t>Tokyo (See Day Itinerary)</t>
  </si>
  <si>
    <t>Daio Wasabi Farm</t>
  </si>
  <si>
    <t>Okuhida Onsenkyo ♨️</t>
  </si>
  <si>
    <t>Total Transport cost per pax</t>
  </si>
  <si>
    <t>Breakdown</t>
  </si>
  <si>
    <t>Cash/ Vending/ machine</t>
  </si>
  <si>
    <t>Online</t>
  </si>
  <si>
    <t>Onsen Ryokan Stay</t>
  </si>
  <si>
    <t>20-10-26</t>
  </si>
  <si>
    <t>Nakasendo Trail</t>
  </si>
  <si>
    <t>Morning departure point for the Chuo Line train to Nakatsugawa.</t>
  </si>
  <si>
    <t>Nakatsugawa Station</t>
  </si>
  <si>
    <t>Transit hub to catch the local Kitaena bus up to Magome.</t>
  </si>
  <si>
    <t>Picturesque hillside post town with cobblestone slopes and restored Edo-period inns.</t>
  </si>
  <si>
    <t>Exceptionally preserved post town retaining authentic wooden facades and historic atmosphere.</t>
  </si>
  <si>
    <t>21-10-26</t>
  </si>
  <si>
    <t>Matsumoto - Azumino</t>
  </si>
  <si>
    <t>Valley station connecting by local train to Matsumoto.</t>
  </si>
  <si>
    <t>Matsumoto Station</t>
  </si>
  <si>
    <t>Destination base for checking in and enjoying evening dining.</t>
  </si>
  <si>
    <t>Hotaka Shrine</t>
  </si>
  <si>
    <t>Historic Shinto shrine revered as guardian of the Northern Japan Alps and maritime transport.</t>
  </si>
  <si>
    <t>05:00 – 08:15</t>
  </si>
  <si>
    <t>Tokoji Temple</t>
  </si>
  <si>
    <t>Departure &amp; Transit to Magome</t>
  </si>
  <si>
    <t>Serene Zen Buddhist temple famous for oversized steel Nio geta (straw sandals) on the gate.</t>
  </si>
  <si>
    <t>Early checkout, breakfast, reach Nagoya Station by 06:00. Take 06:13 JR Chuo non-rapid to Nakatsugawa. Transfer to 07:42 Kitaena Bus to Magome. Head to Magome Jinbakami Observatory.</t>
  </si>
  <si>
    <t>Azumino Countryside</t>
  </si>
  <si>
    <t>08:15 – 11:15</t>
  </si>
  <si>
    <t>Scenic rural walking route through pristine rice paddies and mountain runoff streams.</t>
  </si>
  <si>
    <t>Hike Nakasendo Trail (Magome → Tsumago)</t>
  </si>
  <si>
    <t>Begin 8 km hike (~2.5-3 hrs). Follow 中山道 signs toward 妻籠 (Tsumago). Ring bear bells along path. Rest after 3 km at Magome Pass (highest point). Visit Odaki &amp; Medaki Waterfalls. Stop by Tateba Tea House for complimentary tea.</t>
  </si>
  <si>
    <t>11:15 – 13:50</t>
  </si>
  <si>
    <t>One of Japan's largest wasabi farms, known for clean alpine waterways and water wheels.</t>
  </si>
  <si>
    <t>Explore Tsumago &amp; Lunch</t>
  </si>
  <si>
    <t>Wander preserved historic streets of Tsumago, take photos, and have lunch at a local post-town eatery.</t>
  </si>
  <si>
    <t>13:50 – 16:30</t>
  </si>
  <si>
    <t>Hotaka Station Area</t>
  </si>
  <si>
    <t>Bus to Nagiso &amp; Train to Matsumoto</t>
  </si>
  <si>
    <t>Take 13:50 (or 15:26) bus to Nagiso Station (南木曽駅). Board JR Central Chuo Line to Matsumoto.</t>
  </si>
  <si>
    <t>Charming town hub with local souvenir shops, cafes, and train connection to Matsumoto.</t>
  </si>
  <si>
    <t>16:30 – 18:00</t>
  </si>
  <si>
    <t>Matsumoto Check-in &amp; Refresh</t>
  </si>
  <si>
    <t>Arrive in Matsumoto, walk to Richmond Hotel, check in, unpack, and freshen up.</t>
  </si>
  <si>
    <t>09:00 – 09:18</t>
  </si>
  <si>
    <t>Walk to Matsumoto Station</t>
  </si>
  <si>
    <t>Depart Richmond Hotel; walk ~8 min to station, purchase ticket, and go to JR Ōito Line platform.</t>
  </si>
  <si>
    <t>09:20 – 09:50</t>
  </si>
  <si>
    <t>🚆 JR Ōito Line: Matsumoto → Hotaka</t>
  </si>
  <si>
    <t>Weekday local train originating at Matsumoto at 09:20, arriving at Hotaka Station at ~09:50.</t>
  </si>
  <si>
    <t>09:50 – 10:10</t>
  </si>
  <si>
    <t>Visit Hotaka Shrine</t>
  </si>
  <si>
    <t>Walk ~3 min from station; explore peaceful cedar-lined grounds and wooden shrine pavilion.</t>
  </si>
  <si>
    <t>10:10 – 10:30</t>
  </si>
  <si>
    <t>Walk Hotaka Shrine → Tokoji Temple</t>
  </si>
  <si>
    <t>Leisurely 1.1 km walk (~16 min) along marked Azumino historical path.</t>
  </si>
  <si>
    <t>Option 1: Nakasendo Historic Path</t>
  </si>
  <si>
    <t>10:30 – 10:45</t>
  </si>
  <si>
    <t>Short visit to see the giant colorful geta sandals and quiet Zen gardens.</t>
  </si>
  <si>
    <t>10:45 – 11:15</t>
  </si>
  <si>
    <t>Magome to Tsumago Trail</t>
  </si>
  <si>
    <t>Walk Tokoji → Daio Wasabi Farm</t>
  </si>
  <si>
    <t>1.4 km (~20 min) picturesque countryside walk past clear mountain streams and fields.</t>
  </si>
  <si>
    <t>8 km scenic stone-paved trail linking Edo post towns through tranquil mountain forests.</t>
  </si>
  <si>
    <t>11:15 – 13:15</t>
  </si>
  <si>
    <t>Explore Daio Wasabi Farm</t>
  </si>
  <si>
    <t>Walk along gravel paths beside wasabi beds, view the famous Triple Water Wheels, visit Daio Shrine.</t>
  </si>
  <si>
    <t>13:15 – 14:00</t>
  </si>
  <si>
    <t>Lunch at Daio Wasabi Farm</t>
  </si>
  <si>
    <t>Dine at Daio-an; savor freshly grated wasabi over hot rice (wasabi-don) or chilled soba.</t>
  </si>
  <si>
    <t>Option 2: Waterfalls &amp; Shrines</t>
  </si>
  <si>
    <t>14:00 – 14:50</t>
  </si>
  <si>
    <t>Walk Daio Farm → Hotaka Station</t>
  </si>
  <si>
    <t>Odaki &amp; Medaki Waterfalls</t>
  </si>
  <si>
    <t>2.3 km walk (~30-35 min) back to Hotaka Station; rest and grab refreshments (avoid early 14:11 train).</t>
  </si>
  <si>
    <t>Scenic twin forest waterfalls and historic rest stops including Tateba Tea House.</t>
  </si>
  <si>
    <t>15:10 – 15:37</t>
  </si>
  <si>
    <t>🚆 JR Ōito Line: Hotaka → Matsumoto</t>
  </si>
  <si>
    <t>Take the 15:10 local train back, arriving in Matsumoto at 15:37.</t>
  </si>
  <si>
    <t>15:37 – 16:00</t>
  </si>
  <si>
    <t>Return to Richmond Hotel</t>
  </si>
  <si>
    <t>Short walk back from Matsumoto Station; drop day bags and recharge.</t>
  </si>
  <si>
    <t>Nagoya Station / Konbini</t>
  </si>
  <si>
    <t>Early morning grab-and-go coffee and onigiri before the 06:13 train departure.</t>
  </si>
  <si>
    <t>16:00 onwards</t>
  </si>
  <si>
    <t>Free Evening in Matsumoto</t>
  </si>
  <si>
    <t>Relaxed exploration of downtown Matsumoto; explore cafes, bookshops, and evening dining.</t>
  </si>
  <si>
    <t>Lunch Option 1</t>
  </si>
  <si>
    <t>Yoshidaya (Tsumago)</t>
  </si>
  <si>
    <t>Handmade soba noodles and mountain vegetable tempura in historic Edo-era atmosphere.</t>
  </si>
  <si>
    <t>Lunch Option 2</t>
  </si>
  <si>
    <t>Fujiya (Tsumago)</t>
  </si>
  <si>
    <t>Cozy post-town teahouse serving hot sansai noodles, tea, and local specialty rice sets.</t>
  </si>
  <si>
    <t>Dinner Option 1</t>
  </si>
  <si>
    <t>Matsumoto Sanzokuyaki Eateries</t>
  </si>
  <si>
    <t>Crispy garlic-soy deep-fried chicken cutlets, Matsumoto's iconic soul food.</t>
  </si>
  <si>
    <t>Dinner Option 2</t>
  </si>
  <si>
    <t>Matsumoto Station Soba &amp; Izakaya</t>
  </si>
  <si>
    <t>Locally crafted Shinshu buckwheat soba and Nagano regional sake flights.</t>
  </si>
  <si>
    <t>Option 1: Daio Wasabi Farm</t>
  </si>
  <si>
    <t>Hotaka, Azumino</t>
  </si>
  <si>
    <t>Kurikinton (栗きんとん)</t>
  </si>
  <si>
    <t>Famous seasonal Kiso sweet made from 100% pure sweetened mashed autumn chestnuts.</t>
  </si>
  <si>
    <t>Triple water wheels on the Tade River, extensive gravel wasabi beds, and mountain views.</t>
  </si>
  <si>
    <t>Option 2: Hotaka Shrine &amp; Tokoji</t>
  </si>
  <si>
    <t>Gohei Mochi (五平餅)</t>
  </si>
  <si>
    <t>Skewered pounded rice cakes grilled over charcoal with walnut, sesame, and miso glaze.</t>
  </si>
  <si>
    <t>Ancient guardian shrine of Northern Alps and Zen temple with giant colorful iron geta sandals.</t>
  </si>
  <si>
    <t>Kiso Cypress Woodcrafts</t>
  </si>
  <si>
    <t>Marugen Bakery / Richmond Hotel</t>
  </si>
  <si>
    <t>Hand-carved Hinoki cypress tableware, Bento boxes, and aromatic cedar keepsakes.</t>
  </si>
  <si>
    <t>Quick morning pastries and coffee near Matsumoto Station before boarding local train.</t>
  </si>
  <si>
    <t>Daio-an (大王庵)</t>
  </si>
  <si>
    <t>Signature wasabi bowl with bonito flakes and freshly grated real wasabi root.</t>
  </si>
  <si>
    <t>Azumino Soba Shops</t>
  </si>
  <si>
    <t>Clear alpine spring water buckwheat soba noodles near Hotaka Station.</t>
  </si>
  <si>
    <t>Orokogushi Boxwood Combs</t>
  </si>
  <si>
    <t>Matsumoto Shinshu Soba-ya</t>
  </si>
  <si>
    <t>Handcrafted local buckwheat noodles served with seasonal wild vegetable tempura.</t>
  </si>
  <si>
    <t>Traditional handmade wooden combs crafted in Kiso Valley using ancient techniques.</t>
  </si>
  <si>
    <t>Matsumoto Izakaya</t>
  </si>
  <si>
    <t>Locally raised Shinshu salmon sashimi, local craft beer, and regional mountain cuisine.</t>
  </si>
  <si>
    <t>Wasabi Soft Serve Ice Cream</t>
  </si>
  <si>
    <t>Mild, sweet-pungent green wasabi soft cream unique to Daio Wasabi Farm.</t>
  </si>
  <si>
    <t>Crispy Wasabi Croquettes</t>
  </si>
  <si>
    <t>Hot freshly fried potato croquettes infused with subtle spicy wasabi kick.</t>
  </si>
  <si>
    <t>Fresh Wasabi Rhizomes &amp; Sauces</t>
  </si>
  <si>
    <t>Real farm-grown wasabi roots, wasabi salt, dressings, and dried wasabi crackers.</t>
  </si>
  <si>
    <t>Azumino Glass Crafts</t>
  </si>
  <si>
    <t>Locally blown glassware, wind chimes, and artisanal alpine mountain keepsakes.</t>
  </si>
  <si>
    <t>22-10-26</t>
  </si>
  <si>
    <t>Matsumoto Castle</t>
  </si>
  <si>
    <t>One of Japan's premier historic castles, featuring an original 16th-century six-story wooden keep.</t>
  </si>
  <si>
    <t>Nakamachi Street</t>
  </si>
  <si>
    <t>Historic merchant district lined with preserved black-and-white earthen kura storehouses.</t>
  </si>
  <si>
    <t>Nawate Street &amp; Yohashira Shrine</t>
  </si>
  <si>
    <t>Pedestrian 'Frog Street' filled with food stalls along Metoba River, ending at Yohashira Shrine.</t>
  </si>
  <si>
    <t>Matsumoto City Museum of Art</t>
  </si>
  <si>
    <t>Celebrated museum exhibiting the vibrant avant-garde polka-dot works of Matsumoto native Yayoi Kusama.</t>
  </si>
  <si>
    <t>08:00 – 08:30</t>
  </si>
  <si>
    <t>Breakfast (self-arranged)</t>
  </si>
  <si>
    <t>No hotel breakfast; grab fresh pastries at Marugen Bakery or breakfast onigiri at convenience store.</t>
  </si>
  <si>
    <t>08:30 – 09:00</t>
  </si>
  <si>
    <t>Walk to Matsumoto Castle</t>
  </si>
  <si>
    <t>~10–15 min stroll from Richmond Hotel through morning city streets.</t>
  </si>
  <si>
    <t>09:00 – 10:30</t>
  </si>
  <si>
    <t>Explore Matsumoto Castle</t>
  </si>
  <si>
    <t>Tour the castle interior early to avoid long queues on the steep historical staircases.</t>
  </si>
  <si>
    <t>10:30 – 11:30</t>
  </si>
  <si>
    <t>Nakamachi Street Stroll</t>
  </si>
  <si>
    <t>Cross the river into Nakamachi; browse craft shops, galleries, and traditional storehouses.</t>
  </si>
  <si>
    <t>11:30 – 13:00</t>
  </si>
  <si>
    <t>Shinshu Soba Lunch</t>
  </si>
  <si>
    <t>Savor handmade local soba noodles at Marushu or Metoba-soba near the historic canals.</t>
  </si>
  <si>
    <t>13:00 – 14:30</t>
  </si>
  <si>
    <t>Wander frog-themed craft stalls, snack on hot taiyaki, and pay respects at the peaceful shrine.</t>
  </si>
  <si>
    <t>14:30 – 16:30</t>
  </si>
  <si>
    <t>Visit Yayoi Kusama's outdoor sculptures and indoor multi-media art installations.</t>
  </si>
  <si>
    <t>16:30 – 17:00</t>
  </si>
  <si>
    <t>Walk back to hotel to drop souvenirs, rest feet, and prepare for upcoming alpine transit.</t>
  </si>
  <si>
    <t>17:00 – 18:00</t>
  </si>
  <si>
    <t>Pack Bag for Kamikochi</t>
  </si>
  <si>
    <t>Separate lightweight 2-day pack for Kamikochi &amp; Shinhotaka from large suitcases.</t>
  </si>
  <si>
    <t>18:00 – 18:30</t>
  </si>
  <si>
    <t>Luggage Takkyubin Drop-off</t>
  </si>
  <si>
    <t>Arrange luggage forwarding service at hotel front desk for delivery to subsequent destination.</t>
  </si>
  <si>
    <t>18:30 – 20:30</t>
  </si>
  <si>
    <t>Sanzokuyaki Dinner</t>
  </si>
  <si>
    <t>Enjoy famous local garlic-soy crispy fried chicken at Inashou Izakaya or Karaage Center.</t>
  </si>
  <si>
    <t>20:30 – 21:00</t>
  </si>
  <si>
    <t>Konbini Run</t>
  </si>
  <si>
    <t>Pick up energy bars, water, and breakfast onigiri for tomorrow's 05:30 AM Kamikochi bus.</t>
  </si>
  <si>
    <t>21:00 – 21:30</t>
  </si>
  <si>
    <t>Final Pack &amp; Route Check</t>
  </si>
  <si>
    <t>Verify hiking shoes, warm layers, rain gear, and morning bus tickets.</t>
  </si>
  <si>
    <t>Lights Out</t>
  </si>
  <si>
    <t>Early sleep for 04:30 AM wake up call.</t>
  </si>
  <si>
    <t>Type / Notes</t>
  </si>
  <si>
    <t>23-10-26</t>
  </si>
  <si>
    <t>Kamikochi - Shinhotaka Onsen</t>
  </si>
  <si>
    <t>Option 1: Matsumoto Castle</t>
  </si>
  <si>
    <t>Matsumoto Castle Keep</t>
  </si>
  <si>
    <t>Original 16th-century six-story wooden keep and moat gardens.</t>
  </si>
  <si>
    <t>Historic Castle</t>
  </si>
  <si>
    <t>Taisho Pond (大正池)</t>
  </si>
  <si>
    <t>Formed by the 1915 eruption of Mt. Yakedake, renowned for dead larch trees and alpine reflections.</t>
  </si>
  <si>
    <t>Option 2: Former Kaichi School</t>
  </si>
  <si>
    <t>Kaichi District</t>
  </si>
  <si>
    <t>National Treasure Meiji-era Western architecture school museum.</t>
  </si>
  <si>
    <t>Kappa Bridge (河童橋)</t>
  </si>
  <si>
    <t>Historic Architecture</t>
  </si>
  <si>
    <t>Famous wooden suspension bridge over the azure Azusa River with views of the Hotaka Peaks.</t>
  </si>
  <si>
    <t>Myojin Pond (明神池)</t>
  </si>
  <si>
    <t>Sacred, serene mirror-like mountain pond located within the grounds of Hotaka Shrine Okumiya.</t>
  </si>
  <si>
    <t>Tokusawa (徳沢)</t>
  </si>
  <si>
    <t>Expansive alpine meadow and former cattle ranch, home to the cozy Tokusawa-en lodge.</t>
  </si>
  <si>
    <t>Hirayu Onsen (平湯温泉)</t>
  </si>
  <si>
    <t>Oldest onsen village in the Okuhida Onsen-go region and central bus transfer terminal.</t>
  </si>
  <si>
    <t>Option 3: City Museum of Art</t>
  </si>
  <si>
    <t>Shinhotaka Onsen (新穂高温泉)</t>
  </si>
  <si>
    <t>Secluded valley hot spring retreat surrounded by the majestic Northern Japan Alps.</t>
  </si>
  <si>
    <t>Chuo, Matsumoto</t>
  </si>
  <si>
    <t>Vibrant Yayoi Kusama polka-dot outdoor sculptures and exhibits.</t>
  </si>
  <si>
    <t>Art Museum</t>
  </si>
  <si>
    <t>05:30 – 07:15</t>
  </si>
  <si>
    <t>Bus: Matsumoto → Kamikochi</t>
  </si>
  <si>
    <t>Board Alpico National Park Liner at Matsumoto Bus Terminal; scenic climb into the Northern Alps.</t>
  </si>
  <si>
    <t>Breakfast Option 1</t>
  </si>
  <si>
    <t>Marugen Bakery (まるげんベーカリー)</t>
  </si>
  <si>
    <t>Near station; local bakery with fresh pastries and coffee.</t>
  </si>
  <si>
    <t>07:15 – 08:00</t>
  </si>
  <si>
    <t>Taisho Pond Nature Walk</t>
  </si>
  <si>
    <t>Bakery / Cafe</t>
  </si>
  <si>
    <t>Alight at Taisho Pond; marvel at early morning mist, Mt. Yakedake, and mirror water reflections.</t>
  </si>
  <si>
    <t>Breakfast Option 2</t>
  </si>
  <si>
    <t>08:00 – 09:00</t>
  </si>
  <si>
    <t>Forest Walk to Kappa Bridge</t>
  </si>
  <si>
    <t>Café Bach</t>
  </si>
  <si>
    <t>Follow riverside boardwalks through Tashiro wetland and birch groves to reach Kappa Bridge.</t>
  </si>
  <si>
    <t>Central; classic kissaten offering relaxed pour-over coffee.</t>
  </si>
  <si>
    <t>Coffee Shop</t>
  </si>
  <si>
    <t>09:00 – 10:00</t>
  </si>
  <si>
    <t>Hike to Myojin Pond</t>
  </si>
  <si>
    <t>Hike upstream along Azusa River trail toward Hotaka Shrine Okumiya and sacred Myojin Pond.</t>
  </si>
  <si>
    <t>Marushu (まるしゅう)</t>
  </si>
  <si>
    <t>Near Nakamachi; cozy local shop serving 100% buckwheat soba.</t>
  </si>
  <si>
    <t>Soba Noodle</t>
  </si>
  <si>
    <t>10:00 – 11:00</t>
  </si>
  <si>
    <t>Tokusawa Meadow &amp; Lunch</t>
  </si>
  <si>
    <t>Arrive at Tokusawa; rest on grassy meadows, enjoy soft serve ice cream and light lunch at Tokusawa-en.</t>
  </si>
  <si>
    <t>24-10-26</t>
  </si>
  <si>
    <t>Shinhotaka Onsen - Takayama</t>
  </si>
  <si>
    <t>Metoba-soba</t>
  </si>
  <si>
    <t>11:00 – 13:30</t>
  </si>
  <si>
    <t>Return Hike to Kappa Bridge</t>
  </si>
  <si>
    <t>Near Nawate Street; river-view dining with English menu available.</t>
  </si>
  <si>
    <t>Leisurely return walk along western trail bank back to Kappa Bridge and Kamikochi Bus Terminal.</t>
  </si>
  <si>
    <t>13:30 – 15:30</t>
  </si>
  <si>
    <t>Kamikochi Terminal Relaxation</t>
  </si>
  <si>
    <t>Rest feet, savor cafe refreshments, browse mountain gift shops, and take final peak photos.</t>
  </si>
  <si>
    <t>Inashou (稲生)</t>
  </si>
  <si>
    <t>15:30 – 15:55</t>
  </si>
  <si>
    <t>Central; renowned local izakaya famous for sanzokuyaki chicken.</t>
  </si>
  <si>
    <t>Bus: Kamikochi → Hirayu Onsen</t>
  </si>
  <si>
    <t>Izakaya</t>
  </si>
  <si>
    <t>Board Nohi connecting bus traveling through Abo Tunnel into Gifu Prefecture.</t>
  </si>
  <si>
    <t>15:55 – 16:40</t>
  </si>
  <si>
    <t>Matsumoto Karaage Center</t>
  </si>
  <si>
    <t>Hirayu Onsen Transfer Buffer</t>
  </si>
  <si>
    <t>Station Building; crispy jumbo chicken cutlets and cold draft beer.</t>
  </si>
  <si>
    <t>Arrive at Hirayu Bus Terminal; buy onward tickets at counter, stretch legs, try public footbath.</t>
  </si>
  <si>
    <t>Local Specialty</t>
  </si>
  <si>
    <t>Sanmachi Suji (Old Town)</t>
  </si>
  <si>
    <t>Historic district with beautifully preserved dark timber Edo-period merchant houses.</t>
  </si>
  <si>
    <t>16:40 – 17:04</t>
  </si>
  <si>
    <t>Local Bus: Hirayu → Shinhotaka</t>
  </si>
  <si>
    <t>Board local bus heading up Okuhida Valley; alight at Kazeya bus stop.</t>
  </si>
  <si>
    <t>Takayama Jinya</t>
  </si>
  <si>
    <t>Only surviving Edo-period government outpost in Japan, featuring official chambers and garden.</t>
  </si>
  <si>
    <t>17:04 onwards</t>
  </si>
  <si>
    <t>Ryokan Check-in &amp; Onsen</t>
  </si>
  <si>
    <t>Check into Kazeya Ryokan; relax in outdoor hot spring baths (rotenburo) and savor kaiseki dinner.</t>
  </si>
  <si>
    <t>Nakabashi Bridge</t>
  </si>
  <si>
    <t>Iconic vermilion-red bridge spanning the clear Miyagawa River, perfect for photos.</t>
  </si>
  <si>
    <t>Oyaki Dumplings</t>
  </si>
  <si>
    <t>Nakamachi stalls; buckwheat steamed buns filled with pickled greens or pumpkin.</t>
  </si>
  <si>
    <t>Local Snack</t>
  </si>
  <si>
    <t>Miyagawa Morning Market</t>
  </si>
  <si>
    <t>Riverside market selling local farm produce, woodcrafts, and freshly made snacks.</t>
  </si>
  <si>
    <t>Shinshu Apple Pies &amp; Soft Cream</t>
  </si>
  <si>
    <t>Fresh local Nagano apple pastries and soft serve along Nawate Street.</t>
  </si>
  <si>
    <t>Hida Kokubunji Temple</t>
  </si>
  <si>
    <t>Dessert</t>
  </si>
  <si>
    <t>Ancient temple featuring a majestic three-story pagoda and a massive 1,200-year-old ginkgo tree.</t>
  </si>
  <si>
    <t>Nakamachi Earthen Storehouse Crafts</t>
  </si>
  <si>
    <t>Nakamachi lacquerware, ceramics, and handcrafted woodwork.</t>
  </si>
  <si>
    <t>Local Crafts</t>
  </si>
  <si>
    <t>13:31 – 13:45</t>
  </si>
  <si>
    <t>Arrival at Takayama Station</t>
  </si>
  <si>
    <t>Arrive from Shinhotaka Onsen; walk 1 minute to Takayama Washington Hotel Plaza to drop luggage.</t>
  </si>
  <si>
    <t>Option 1: Taisho Pond &amp; Tashiro</t>
  </si>
  <si>
    <t>13:45 – 14:00</t>
  </si>
  <si>
    <t>Nawate Frog Street Stalls</t>
  </si>
  <si>
    <t>Walk to Historic Center</t>
  </si>
  <si>
    <t>Walk east along Ekimae-chuo Dori towards the Miyagawa River to enter historic quarters.</t>
  </si>
  <si>
    <t>Frog-themed souvenirs, vintage trinkets, and local confections.</t>
  </si>
  <si>
    <t>Sunken larch trees, Mt. Yakedake volcanic reflections, and wetland boardwalk.</t>
  </si>
  <si>
    <t>Souvenirs</t>
  </si>
  <si>
    <t>14:00 – 15:30</t>
  </si>
  <si>
    <t>Explore Sanmachi Suji (Old Town)</t>
  </si>
  <si>
    <t>Wander traditional streets, sample street snacks, browse woodwork, and visit sake breweries.</t>
  </si>
  <si>
    <t>Option 2: Kappa Bridge &amp; Azusa River</t>
  </si>
  <si>
    <t>Panoramic views of the snow-dusted Hotaka Mountain Range and crystal river.</t>
  </si>
  <si>
    <t>15:30 – 16:30</t>
  </si>
  <si>
    <t>Visit Takayama Jinya</t>
  </si>
  <si>
    <t>Explore historic administrative offices, tatami halls, and rice storehouse (closes 17:00, last entry 16:30).</t>
  </si>
  <si>
    <t>Option 3: Myojin Pond &amp; Shrine</t>
  </si>
  <si>
    <t>Hotaka Shrine Okumiya</t>
  </si>
  <si>
    <t>Sacred mirror-like highland pond nestled beneath towering cedar forests.</t>
  </si>
  <si>
    <t>Nakabashi Bridge Stroll</t>
  </si>
  <si>
    <t>Stroll to the vermilion bridge for late afternoon golden hour lighting and river vistas.</t>
  </si>
  <si>
    <t>Return to Hotel &amp; Check-in</t>
  </si>
  <si>
    <t>Trail Provisions / Onigiri</t>
  </si>
  <si>
    <t>Head back to Takayama Washington Hotel Plaza to complete room check-in, rest, and freshen up.</t>
  </si>
  <si>
    <t>Pre-purchased convenience store breakfast and hot tea enjoyed during transit.</t>
  </si>
  <si>
    <t>18:00 – 20:30</t>
  </si>
  <si>
    <t>Tokusawa-en Michikusa Shokudo</t>
  </si>
  <si>
    <t>Hida Beef Dinner in Town</t>
  </si>
  <si>
    <t>Hearty mountain curry, hot sansai soba, and fresh apple tarts in alpine meadow.</t>
  </si>
  <si>
    <t>Savor world-famous marbled Hida Beef yakiniku, sukiyaki, or local chuka soba ramen.</t>
  </si>
  <si>
    <t>Kamikochi Shokudo (Terminal 2F)</t>
  </si>
  <si>
    <t>Traditional Shinshu pork katsudon and hot noodle bowls with mountain peak views.</t>
  </si>
  <si>
    <t>Dinner Option</t>
  </si>
  <si>
    <t>Kazeya Ryokan Kaiseki Dinner</t>
  </si>
  <si>
    <t>Multi-course traditional feast featuring premium Hida beef and char fish.</t>
  </si>
  <si>
    <t>Tokusawa Rich Soft Serve</t>
  </si>
  <si>
    <t>Famous ultra-rich soft cream made with fresh Shinshu highland cow milk.</t>
  </si>
  <si>
    <t>Kamikochi Apple Pie</t>
  </si>
  <si>
    <t>Warm baked local Shinshu apple turnover paired with mountain drip coffee.</t>
  </si>
  <si>
    <t>Option 1: Sanmachi Suji Historic Quarter</t>
  </si>
  <si>
    <t>Kami-Sannomachi, Takayama</t>
  </si>
  <si>
    <t>Kamikochi Terminal Alpine Gifts</t>
  </si>
  <si>
    <t>Alpico regional goods, mountaineering badges, and cedar wood keepsakes.</t>
  </si>
  <si>
    <t>Edo-period merchant streets with dark wooden lattices and sake breweries.</t>
  </si>
  <si>
    <t>Option 2: Takayama Jinya</t>
  </si>
  <si>
    <t>Hachikenmachi, Takayama</t>
  </si>
  <si>
    <t>Japan's sole surviving Edo-era government outpost with tatami administrative halls.</t>
  </si>
  <si>
    <t>Kazeya Ryokan Onsen Goods</t>
  </si>
  <si>
    <t>Option 3: Nakabashi Vermilion Bridge</t>
  </si>
  <si>
    <t>Miyagawa Riverfront</t>
  </si>
  <si>
    <t>Okuhida onsen bath salts, local honey, and sake from Hida region.</t>
  </si>
  <si>
    <t>Iconic bright red lacquered bridge framing weeping willows and river views.</t>
  </si>
  <si>
    <t>Kazeya Ryokan Morning Feast</t>
  </si>
  <si>
    <t>Traditional multi-course Japanese morning breakfast before departing Shinhotaka.</t>
  </si>
  <si>
    <t>Center4 Hamburgers</t>
  </si>
  <si>
    <t>Legendary gourmet burgers made with real 100% marbled Hida beef patties.</t>
  </si>
  <si>
    <t>Tsuzumi Soba (鼓そば)</t>
  </si>
  <si>
    <t>Classic nostalgic Takayama chuka soba with light soy-bonito broth and thin noodles.</t>
  </si>
  <si>
    <t>Maruaki (丸明 Takayama)</t>
  </si>
  <si>
    <t>Renowned butcher restaurant famous for highest-grade A5 Hida Beef yakiniku.</t>
  </si>
  <si>
    <t>Ajikura Tengoku (味蔵天国)</t>
  </si>
  <si>
    <t>Acclaimed JA-operated Hida beef yakiniku spot steps from Takayama Station.</t>
  </si>
  <si>
    <t>Hida Kotte Ushi (飛騨 こって牛)</t>
  </si>
  <si>
    <t>Award-winning A5 Hida beef nigiri sushi served on crunchy edible rice crackers.</t>
  </si>
  <si>
    <t>Sanmachi Mitarashi Dango</t>
  </si>
  <si>
    <t>Savory soy-glazed skewered rice dumplings grilled over hot charcoal.</t>
  </si>
  <si>
    <t>Funasaka Sake Brewery</t>
  </si>
  <si>
    <t>Historic sake brewery offering coin-operated tasting flight machines and bottles.</t>
  </si>
  <si>
    <t>Hida Sarubobo Crafts</t>
  </si>
  <si>
    <t>Handcrafted traditional faceless red amulets symbolising good fortune and health.</t>
  </si>
  <si>
    <t>25-10-26</t>
  </si>
  <si>
    <t>Takayama - Shirakawa-go - Kanazawa</t>
  </si>
  <si>
    <t>Vibrant riverside morning market selling local crafts, fresh produce, and street food.</t>
  </si>
  <si>
    <t>Shiroyama Viewpoint (Shirakawa-go)</t>
  </si>
  <si>
    <t>Best elevated vantage point for panoramic views of the entire gassho-zukuri village.</t>
  </si>
  <si>
    <t>Wada House / Kanda House</t>
  </si>
  <si>
    <t>Open-to-the-public traditional thatched-roof farmhouses revealing intricate timber structure.</t>
  </si>
  <si>
    <t>Tsuzumi Gate (Kanazawa)</t>
  </si>
  <si>
    <t>Iconic wooden drum gate and modern glass Motenashi Dome welcoming visitors at Kanazawa Station.</t>
  </si>
  <si>
    <t>Higashi Chaya District (Kanazawa)</t>
  </si>
  <si>
    <t>Preserved historic geisha entertainment district, enchanting to explore at twilight.</t>
  </si>
  <si>
    <t>07:00 – 08:15</t>
  </si>
  <si>
    <t>Miyagawa Morning Market Walk</t>
  </si>
  <si>
    <t>Stroll along Miyagawa River; enjoy morning atmosphere and sample riverside breakfast treats.</t>
  </si>
  <si>
    <t>08:15 – 08:45</t>
  </si>
  <si>
    <t>Checkout &amp; Nohi Bus Terminal</t>
  </si>
  <si>
    <t>Return to hotel, grab packed luggage, check out, and walk to adjacent Takayama Nohi Bus Center.</t>
  </si>
  <si>
    <t>08:50 – 09:40</t>
  </si>
  <si>
    <t>Bus: Takayama → Shirakawa-go</t>
  </si>
  <si>
    <t>Scenic highway bus ride winding through the Hida mountain valleys to Shirakawa-go.</t>
  </si>
  <si>
    <t>09:40 – 10:15</t>
  </si>
  <si>
    <t>Arrival &amp; Luggage Storage</t>
  </si>
  <si>
    <t>Arrive at Shirakawa-go Bus Terminal; store day luggage in coin lockers or baggage room.</t>
  </si>
  <si>
    <t>10:15 – 11:00</t>
  </si>
  <si>
    <t>Shiroyama Observation Deck</t>
  </si>
  <si>
    <t>Take village shuttle bus or walk uphill to observation deck for classic postcard views.</t>
  </si>
  <si>
    <t>11:00 – 12:15</t>
  </si>
  <si>
    <t>Explore Ogimachi Village</t>
  </si>
  <si>
    <t>Walk among historic thatched roofs; tour Wada House or Kanda House interior.</t>
  </si>
  <si>
    <t>12:15 – 13:10</t>
  </si>
  <si>
    <t>Shirakawa-go Village Lunch</t>
  </si>
  <si>
    <t>Dine at a rustic village eatery (Irori) enjoying mountain cuisine and Hida beef.</t>
  </si>
  <si>
    <t>13:10 – 13:40</t>
  </si>
  <si>
    <t>Deai Bridge Walk &amp; Snacks</t>
  </si>
  <si>
    <t>Cross pedestrian suspension bridge over Shogawa River; grab local snacks and pick up luggage.</t>
  </si>
  <si>
    <t>13:50 – 15:15</t>
  </si>
  <si>
    <t>Bus: Shirakawa-go → Kanazawa</t>
  </si>
  <si>
    <t>Board expressway bus to Kanazawa Station, reaching the Ishikawa Prefecture coast.</t>
  </si>
  <si>
    <t>15:15 – 15:45</t>
  </si>
  <si>
    <t>Kanazawa Station &amp; Check-in</t>
  </si>
  <si>
    <t>Photograph Tsuzumi Gate; 5-min walk to Smile Hotel Premium Kanazawa Higashiguchi to check in.</t>
  </si>
  <si>
    <t>15:45 – 18:30</t>
  </si>
  <si>
    <t>Higashi Chaya Geisha District</t>
  </si>
  <si>
    <t>Take loop bus/taxi to Higashi Chaya; stroll preserved wooden lattice streets before dusk.</t>
  </si>
  <si>
    <t>Dinner in Kanazawa</t>
  </si>
  <si>
    <t>Dine near station or Forus Mall (Kanazawa oden at Kuroyuri or fresh Sea of Japan conveyor sushi).</t>
  </si>
  <si>
    <t>Option 1: Ogimachi Gassho Village</t>
  </si>
  <si>
    <t>UNESCO World Heritage thatched-roof farmhouses, Wada House interior, and scenic viewpoints.</t>
  </si>
  <si>
    <t>Option 2: Shiroyama Viewpoint</t>
  </si>
  <si>
    <t>Shirakawa-go Hilltop</t>
  </si>
  <si>
    <t>Panoramic elevated view over the fairytale mountain village.</t>
  </si>
  <si>
    <t>Option 3: Kanazawa Tsuzumi Gate</t>
  </si>
  <si>
    <t>Kanazawa Station East Exit</t>
  </si>
  <si>
    <t>Majestic traditional wooden drum gate combined with glass Motenashi Dome.</t>
  </si>
  <si>
    <t>Miyagawa Market Food Stalls</t>
  </si>
  <si>
    <t>Takayama; fresh espresso, local apple pastries, tamagoyaki, and dango along river.</t>
  </si>
  <si>
    <t>Irori (白川郷 居食屋 依・ろ・り)</t>
  </si>
  <si>
    <t>Shirakawa-go; traditional irori hearth dining with Hida beef tofu sets and sansai soba.</t>
  </si>
  <si>
    <t>Kuroyuri (黒百合 Kanazawa)</t>
  </si>
  <si>
    <t>Kanazawa Station Ekikita; legendary 70-year Kanazawa oden in fragrant dashi broth.</t>
  </si>
  <si>
    <t>Mori Mori Sushi (もりもり寿し)</t>
  </si>
  <si>
    <t>Kanazawa Forus 6F; premium Hokuriku seafood including nodoguro and white shrimp.</t>
  </si>
  <si>
    <t>Gohei Dango (五平餅)</t>
  </si>
  <si>
    <t>Shirakawa-go; skewered rice dumplings grilled with rustic walnut-miso paste.</t>
  </si>
  <si>
    <t>Hakuichi Gold Leaf Ice Cream</t>
  </si>
  <si>
    <t>Kanazawa Higashi Chaya; signature vanilla soft cream draped in pure edible gold leaf.</t>
  </si>
  <si>
    <t>26-10-26</t>
  </si>
  <si>
    <t>Hakuichi Gold Leaf Goods</t>
  </si>
  <si>
    <t>Higashi Chaya; luxury gold leaf cosmetics, flakes, and gold-dusted teas.</t>
  </si>
  <si>
    <t>Kutani Ceramics &amp; Curio Espresso</t>
  </si>
  <si>
    <t>Distinctive colorful Kanazawa porcelain and locally roasted coffee beans.</t>
  </si>
  <si>
    <t>Smile Hotel Premium Kanazawa</t>
  </si>
  <si>
    <t>Starting base and hotel accommodations located conveniently near Kanazawa Station.</t>
  </si>
  <si>
    <t>Omicho Market</t>
  </si>
  <si>
    <t>Bustling fresh market operating since Edo period, packed with seafood and produce stalls.</t>
  </si>
  <si>
    <t>Kenroku-en</t>
  </si>
  <si>
    <t>One of Japan's 'Three Great Gardens', famous for autumn foliage and traditional stone lanterns.</t>
  </si>
  <si>
    <t>21st Century Museum</t>
  </si>
  <si>
    <t>Circular contemporary art museum showcasing Leandro Erlich's 'Swimming Pool' and outdoor zones.</t>
  </si>
  <si>
    <t>Nagamachi Samurai District</t>
  </si>
  <si>
    <t>Preserved neighborhood featuring cobblestone alleys, canals, and earthen mud walls.</t>
  </si>
  <si>
    <t>Higashi Chaya District</t>
  </si>
  <si>
    <t>Kanazawa's primary historic geisha district lined with traditional dark wooden lattices.</t>
  </si>
  <si>
    <t>08:20 – 08:35</t>
  </si>
  <si>
    <t>Bus Ride 1: Station → Hashiba-cho</t>
  </si>
  <si>
    <t>Take Kanazawa Right Loop Bus from Kanazawa Station East Gate (Stop #7) to Hashiba-cho stop.</t>
  </si>
  <si>
    <t>08:35 – 09:00</t>
  </si>
  <si>
    <t>Walk to Kimono Shop</t>
  </si>
  <si>
    <t>Walk to selected kimono rental shop near the teahouse district (e.g., VASARA or Kokoro).</t>
  </si>
  <si>
    <t>09:00 – 09:45</t>
  </si>
  <si>
    <t>Kimono Fitting &amp; Styling</t>
  </si>
  <si>
    <t>Earliest appointment slot to get dressed and professionally styled in traditional attire.</t>
  </si>
  <si>
    <t>09:45 – 11:15</t>
  </si>
  <si>
    <t>Higashi Chaya &amp; Kazuemachi</t>
  </si>
  <si>
    <t>Stroll historic wooden alleys and take photos while streets are peaceful before tour groups.</t>
  </si>
  <si>
    <t>11:15 – 11:45</t>
  </si>
  <si>
    <t>Return Kimono</t>
  </si>
  <si>
    <t>Head back to kimono shop, return attire, and change back into comfortable walking clothes.</t>
  </si>
  <si>
    <t>11:45 – 12:00</t>
  </si>
  <si>
    <t>Bus Ride 2: Hashiba-cho → Kenroku-en</t>
  </si>
  <si>
    <t>Take Kanazawa Right Loop Bus from Hashiba-cho to Kenrokuen Garden / Kanazawa Castle Park stop.</t>
  </si>
  <si>
    <t>12:00 – 14:00</t>
  </si>
  <si>
    <t>Kenroku-en &amp; Garden Lunch</t>
  </si>
  <si>
    <t>Stroll garden to view autumn colors and tea arbors; enjoy lunch at local soba or tea house.</t>
  </si>
  <si>
    <t>21st Century Museum of Art</t>
  </si>
  <si>
    <t>Cross street from Kenroku-en to the museum; explore open galleries and outdoor Interaction Zone.</t>
  </si>
  <si>
    <t>15:30 – 15:45</t>
  </si>
  <si>
    <t>Walk: Museum → Nagamachi</t>
  </si>
  <si>
    <t>Walk west from the museum down into the samurai district (~12 min stroll).</t>
  </si>
  <si>
    <t>15:45 – 16:45</t>
  </si>
  <si>
    <t>Explore quiet cobblestone lanes, residential samurai gates, and scenic canals.</t>
  </si>
  <si>
    <t>16:45 – 17:10</t>
  </si>
  <si>
    <t>Bus Ride 3: Korinbo → Station</t>
  </si>
  <si>
    <t>Take Kanazawa Loop Bus from Korinbo stop back to Kanazawa Station.</t>
  </si>
  <si>
    <t>27-10-26</t>
  </si>
  <si>
    <t>17:10 – 17:30</t>
  </si>
  <si>
    <t>Kanazawa - Nagano</t>
  </si>
  <si>
    <t>Hotel Pit-Stop &amp; Refresh</t>
  </si>
  <si>
    <t>Walk to Smile Hotel to drop off purchases, rest feet, and freshen up.</t>
  </si>
  <si>
    <t>18:00 – 20:00</t>
  </si>
  <si>
    <t>Dinner &amp; Shinkansen Booking</t>
  </si>
  <si>
    <t>Dine near station; reserve Shinkansen seats bound for Nagano (for tomorrow 13:00 onwards).</t>
  </si>
  <si>
    <t>Starting point near Kanazawa Station; luggage drop and checkout.</t>
  </si>
  <si>
    <t>Nagano Station</t>
  </si>
  <si>
    <t>Major transit gateway in Nagano Prefecture, connected to MIDORI shopping complex.</t>
  </si>
  <si>
    <t>Zenkōji Temple</t>
  </si>
  <si>
    <t>7th-century National Treasure temple housing the first Buddhist statue brought to Japan.</t>
  </si>
  <si>
    <t>Option 1: Kenroku-en Garden</t>
  </si>
  <si>
    <t>Kenroku-en, Kanazawa</t>
  </si>
  <si>
    <t>One of Japan's Three Great Gardens, iconic stone lanterns, ancient pine trees, and ponds.</t>
  </si>
  <si>
    <t>Option 2: 21st Century Museum of Art</t>
  </si>
  <si>
    <t>Hirosaka, Kanazawa</t>
  </si>
  <si>
    <t>Leandro Erlich's 'The Swimming Pool', interactive modern art, and park grounds.</t>
  </si>
  <si>
    <t>Checkout &amp; Luggage Storage</t>
  </si>
  <si>
    <t>Check out from Smile Hotel; store bags at hotel concierge or station lockers; walk to Omicho Market.</t>
  </si>
  <si>
    <t>Option 3: Nagamachi Samurai District</t>
  </si>
  <si>
    <t>Nagamachi, Kanazawa</t>
  </si>
  <si>
    <t>Earthen mud walls, cobblestone alleyways, and historic Nomura Samurai House.</t>
  </si>
  <si>
    <t>09:00 – 11:30</t>
  </si>
  <si>
    <t>Omicho Market Morning</t>
  </si>
  <si>
    <t>Explore lively morning market stalls; savor an early seafood lunch (kaisendon or fresh sushi).</t>
  </si>
  <si>
    <t>11:30 – 12:30</t>
  </si>
  <si>
    <t>Omicho Market Fresh Stalls</t>
  </si>
  <si>
    <t>Station Transfer &amp; Bento Prep</t>
  </si>
  <si>
    <t>Fresh sashimi skewers, steamed buns, or coffee near Kanazawa Station.</t>
  </si>
  <si>
    <t>Retrieve luggage from hotel, walk into Kanazawa Station, purchase drinks/bento for train.</t>
  </si>
  <si>
    <t>Kaisendon Yutaka Suisan</t>
  </si>
  <si>
    <t>Omicho Market; decadent seafood rice bowls topped with local crab and seasonal fish.</t>
  </si>
  <si>
    <t>🚅 Hokuriku Shinkansen: Kanazawa → Nagano</t>
  </si>
  <si>
    <t>Board Kagayaki or Hakutaka Shinkansen; scenic high-speed transit directly to Nagano Station.</t>
  </si>
  <si>
    <t>Sushi Mitsukawa (すし みつ川)</t>
  </si>
  <si>
    <t>Higashi Chaya; refined Michelin-starred Edomae sushi experience.</t>
  </si>
  <si>
    <t>14:30 – 15:30</t>
  </si>
  <si>
    <t>Nagano Arrival &amp; Hotel Check-in</t>
  </si>
  <si>
    <t>Arrive at Nagano Station; walk to Livemax Nagano Ekimae to drop bags and check in.</t>
  </si>
  <si>
    <t>Otomezushi (乙女寿司)</t>
  </si>
  <si>
    <t>Kanazawa; premier master-crafted sushi showcasing local Sea of Japan bounty.</t>
  </si>
  <si>
    <t>15:30 – 17:30</t>
  </si>
  <si>
    <t>Zenkōji Temple Pilgrimage Walk</t>
  </si>
  <si>
    <t>Walk or bus up historic Nakamise-dori stone avenue to Zenkōji Temple for late afternoon photos.</t>
  </si>
  <si>
    <t>Kanazawa Hyakubangai Dining</t>
  </si>
  <si>
    <t>Station complex dining street featuring Ishikawa nodoguro grilled fish and local sake.</t>
  </si>
  <si>
    <t>17:30 – 19:30</t>
  </si>
  <si>
    <t>Shinshu Soba Dinner</t>
  </si>
  <si>
    <t>Enjoy Nagano's premier culinary specialty: fresh handmade 100% buckwheat Shinshu soba.</t>
  </si>
  <si>
    <t>Gold Leaf Soft Serve Ice Cream</t>
  </si>
  <si>
    <t>Higashi Chaya; decadent gold leaf draped soft serve ice cream.</t>
  </si>
  <si>
    <t>Issho Teahouse Matcha &amp; Sweets</t>
  </si>
  <si>
    <t>Traditional stone teahouse overlooking garden serving matcha and wagashi.</t>
  </si>
  <si>
    <t>Smile Hotel / Omicho Morning Stalls</t>
  </si>
  <si>
    <t>Light breakfast and coffee before exploring morning seafood vendors.</t>
  </si>
  <si>
    <t>Kutani Porcelain &amp; Wajima Lacquer</t>
  </si>
  <si>
    <t>Higashi Chaya boutiques; vibrant hand-painted ceramics and exquisite lacquer bowls.</t>
  </si>
  <si>
    <t>Kanazawa Hyakubangai Souvenirs</t>
  </si>
  <si>
    <t>Anto mall inside station; premium sweets, local sake, and packaged seafood delicacies.</t>
  </si>
  <si>
    <t>Option 1: Zenkōji Temple Complex</t>
  </si>
  <si>
    <t>Nagano City</t>
  </si>
  <si>
    <t>1,400-year-old pilgrimage site, Sanmon Gate, and pitch-black underground passage.</t>
  </si>
  <si>
    <t>Option 2: Zenkōji Nakamise-dori</t>
  </si>
  <si>
    <t>Approach to Zenkōji</t>
  </si>
  <si>
    <t>Historic flagstone street lined with incense shops, pilgrim lodgings, and rustic cafes.</t>
  </si>
  <si>
    <t>Smile Hotel / Omicho Seafood</t>
  </si>
  <si>
    <t>Omicho Market Kaisendon</t>
  </si>
  <si>
    <t>Kanazawa; hearty seafood bowl loaded with sweet shrimp, tuna, and Sea of Japan catches.</t>
  </si>
  <si>
    <t>Ten Shinshu Juwari Soba</t>
  </si>
  <si>
    <t>Nagano Station area; authentic 100% pure buckwheat noodles with savory dipping tsuyu.</t>
  </si>
  <si>
    <t>Kusabue MIDORI (草笛)</t>
  </si>
  <si>
    <t>Nagano Station MIDORI 3F; hearty Nagano-style walnut soba (kurumi soba) and tempura.</t>
  </si>
  <si>
    <t>Zenkōji Oyaki Dumplings</t>
  </si>
  <si>
    <t>Steamed buckwheat flour dumplings filled with nozawana greens, eggplant, or sweet azuki.</t>
  </si>
  <si>
    <t>Shinshu Apple Soft Serve</t>
  </si>
  <si>
    <t>Sweet and refreshing soft cream infused with real Nagano Shinshu apples.</t>
  </si>
  <si>
    <t>Yawataya Isogoro Shichimi</t>
  </si>
  <si>
    <t>Famous 280-year-old seven-spice brand near Zenkōji offering custom spice tins.</t>
  </si>
  <si>
    <t>MIDORI Nagano Confectionery</t>
  </si>
  <si>
    <t>Shinshu apple pies, chestnut sweets from Obuse, and fine Nagano sake.</t>
  </si>
  <si>
    <t>28-10-26</t>
  </si>
  <si>
    <t>Togakushi Shrine - Nagano</t>
  </si>
  <si>
    <t>Livemax Nagano Ekimae</t>
  </si>
  <si>
    <t>Base hotel located right by Nagano Station.</t>
  </si>
  <si>
    <t>Kagamiike (Mirror Pond)</t>
  </si>
  <si>
    <t>Serene mountain pond reflecting the dramatic autumn peaks of Mt. Togakushi.</t>
  </si>
  <si>
    <t>Zuishinmon Gate</t>
  </si>
  <si>
    <t>Traditional red thatched-roof gate serving as the spiritual entrance to the cedar avenue.</t>
  </si>
  <si>
    <t>Togakushi Okusha &amp; Kuzuryusha</t>
  </si>
  <si>
    <t>Upper shrines set deep in the mountain forest, dedicated to deities of agriculture and water.</t>
  </si>
  <si>
    <t>Middle shrine village surrounded by ancient giant cedars and famous Togakushi soba shops.</t>
  </si>
  <si>
    <t>06:50 – 07:46</t>
  </si>
  <si>
    <t>Bus: Nagano Station → Kagamiike</t>
  </si>
  <si>
    <t>Board reserved Alpico bus at Nagano Station; alight at 'Path to Kagami Pond' stop (one stop past Chusha).</t>
  </si>
  <si>
    <t>07:46 – 08:30</t>
  </si>
  <si>
    <t>Kagamiike (Mirror Pond) First Light</t>
  </si>
  <si>
    <t>Experience early morning stillness and mirror reflections on the lake with zero crowds.</t>
  </si>
  <si>
    <t>Forest Walk: Kagamiike → Zuishinmon</t>
  </si>
  <si>
    <t>~30 min gentle descent along marked autumn trail and wooden boardwalks to Zuishinmon Gate.</t>
  </si>
  <si>
    <t>09:00 – 09:55</t>
  </si>
  <si>
    <t>Giant Cedar Avenue to Okusha Shrine</t>
  </si>
  <si>
    <t>Walk along the 400-year-old cryptomeria avenue to Okusha &amp; Kuzuryusha ahead of tour crowds.</t>
  </si>
  <si>
    <t>09:55 – 10:30</t>
  </si>
  <si>
    <t>Walk Okusha → Chusha Village</t>
  </si>
  <si>
    <t>Descend cedar avenue to Zuishinmon (~10 min) and follow trail/road to Chusha village (~25 min).</t>
  </si>
  <si>
    <t>10:30 – 12:00</t>
  </si>
  <si>
    <t>Chusha Shrine &amp; Togakushi Soba Lunch</t>
  </si>
  <si>
    <t>Visit Chusha shrine; enjoy lunch at Yokodaimon or Yutakaya (open from 10:00; walk in before 11:00).</t>
  </si>
  <si>
    <t>12:00 – 14:30</t>
  </si>
  <si>
    <t>Hinomikosha Shrine &amp; Village Stroll</t>
  </si>
  <si>
    <t>Free buffer time; visit tranquil Hinomikosha (10 min walk) or relax at local village cafes.</t>
  </si>
  <si>
    <t>14:30 – 15:05</t>
  </si>
  <si>
    <t>Arrive at Chusha Bus Stop</t>
  </si>
  <si>
    <t>Arrive at Chusha stop with reserved bus ticket; board ~15:05 return bus (departs campsite 15:00).</t>
  </si>
  <si>
    <t>15:05 – 16:05</t>
  </si>
  <si>
    <t>Bus: Chusha → Nagano Station</t>
  </si>
  <si>
    <t>Return bus journey through the highlands arriving back at Nagano Station by ~16:05.</t>
  </si>
  <si>
    <t>16:05 onwards</t>
  </si>
  <si>
    <t>Nagano Evening Relaxation</t>
  </si>
  <si>
    <t>Enjoy evening in Nagano city; browse MIDORI station shops, cafe break, and dinner.</t>
  </si>
  <si>
    <t>Option 1: Togakushi Cedar Avenue</t>
  </si>
  <si>
    <t>Zuishinmon to Okusha</t>
  </si>
  <si>
    <t>400-year-old towering cryptomeria cedars leading to the sacred mountain shrine.</t>
  </si>
  <si>
    <t>Option 2: Kagamiike (Mirror Pond)</t>
  </si>
  <si>
    <t>Togakushi Highlands</t>
  </si>
  <si>
    <t>Pristine alpine lake reflecting early autumn mountain peaks and vivid foliage.</t>
  </si>
  <si>
    <t>Option 3: Chusha &amp; Hinomikosha</t>
  </si>
  <si>
    <t>Togakushi Middle Village</t>
  </si>
  <si>
    <t>Ancient middle shrine surrounded by centuries-old trees and peaceful village shrines.</t>
  </si>
  <si>
    <t>Early Konbini Grab &amp; Go</t>
  </si>
  <si>
    <t>Coffee, pastries, and onigiri purchased before boarding the 06:50 morning bus.</t>
  </si>
  <si>
    <t>Yokodaimon Soba (横大門)</t>
  </si>
  <si>
    <t>Togakushi Chusha; famous regional soba served in 5 woven coils (bocchi-mori).</t>
  </si>
  <si>
    <t>Yutakaya (うづら家 / 岩戸屋)</t>
  </si>
  <si>
    <t>Renowned handmade Togakushi soba served with crispy wild mushroom tempura.</t>
  </si>
  <si>
    <t>OTONA Shinshu Buckwheat / Nakajima</t>
  </si>
  <si>
    <t>Nagano Station area; seasonal Shinshu dishes, local duck hot pot, and sake flights.</t>
  </si>
  <si>
    <t>Togakushi Soba Soft Cream</t>
  </si>
  <si>
    <t>Buckwheat-infused nutty soft serve ice cream available near Chusha bus stop.</t>
  </si>
  <si>
    <t>Freshly Roasted Soba Dango</t>
  </si>
  <si>
    <t>Chewy roasted buckwheat dumplings glazed with savory sweet soy sauce.</t>
  </si>
  <si>
    <t>Nemagaridake Bamboo Crafts</t>
  </si>
  <si>
    <t>Traditional hand-woven Togakushi bamboo baskets and soba serving trays (zaru).</t>
  </si>
  <si>
    <t>Togakushi Soba Gift Packs</t>
  </si>
  <si>
    <t>Dried artisan buckwheat noodles with authentic dipping tsuyu to bring home.</t>
  </si>
  <si>
    <t>29-10-26</t>
  </si>
  <si>
    <t>Nagano - Tokyo (Iriya, Ueno)</t>
  </si>
  <si>
    <t>Morning departure terminal for high-speed Shinkansen to Tokyo.</t>
  </si>
  <si>
    <t>Ueno Station / Iriya</t>
  </si>
  <si>
    <t>Base neighborhood in northeastern Tokyo, gateway to traditional shitamachi quarters.</t>
  </si>
  <si>
    <t>Yanaka Ginza</t>
  </si>
  <si>
    <t>Nostalgic retro shopping street retaining old Tokyo charm, artisan shops, and local snacks.</t>
  </si>
  <si>
    <t>Nezu Shrine</t>
  </si>
  <si>
    <t>Historic Edo shrine known for its hillside tunnel of bright vermilion torii gates and azalea garden.</t>
  </si>
  <si>
    <t>Ameyoko Shopping Street</t>
  </si>
  <si>
    <t>Lively open-air market street running beneath railway arches between Ueno and Okachimachi.</t>
  </si>
  <si>
    <t>08:30 – 09:17</t>
  </si>
  <si>
    <t>Checkout &amp; Station Departure</t>
  </si>
  <si>
    <t>Breakfast in Nagano, pack bags, check out, and head to Nagano Station platform.</t>
  </si>
  <si>
    <t>09:17 – 10:46</t>
  </si>
  <si>
    <t>🚅 Kagayaki Shinkansen: Nagano → Ueno</t>
  </si>
  <si>
    <t>Take direct Hokuriku Shinkansen bullet train from Nagano to Tokyo Ueno Station.</t>
  </si>
  <si>
    <t>10:46 – 11:15</t>
  </si>
  <si>
    <t>Hotel Bag Drop</t>
  </si>
  <si>
    <t>Arrive in Ueno; transfer/walk to hotel in Iriya/Ueno area to store heavy luggage.</t>
  </si>
  <si>
    <t>11:15 – 13:00</t>
  </si>
  <si>
    <t>Explore Yanaka Ginza &amp; Cemetery</t>
  </si>
  <si>
    <t>Walk or take Yamanote to Nippori; wander peaceful Yanaka Cemetery and historic shopping street.</t>
  </si>
  <si>
    <t>Lunch in Yanaka / Nezu</t>
  </si>
  <si>
    <t>Relax at a retro kissaten cafe or enjoy traditional buckwheat soba noodles.</t>
  </si>
  <si>
    <t>Visit Nezu Shrine</t>
  </si>
  <si>
    <t>Stroll through the hillside tunnel of mini vermilion torii gates and tranquil shrine grounds.</t>
  </si>
  <si>
    <t>Hotel Check-in &amp; Rest</t>
  </si>
  <si>
    <t>Head back to hotel; complete room check-in, unpack travel bags, and rest feet.</t>
  </si>
  <si>
    <t>17:30 – 20:30</t>
  </si>
  <si>
    <t>Ameyoko Night Stroll &amp; Dinner</t>
  </si>
  <si>
    <t>Browse lively market stalls beneath JR tracks; enjoy casual dinner and drinks in Ueno.</t>
  </si>
  <si>
    <t>Option 1: Nezu Shrine Vermilion Torii</t>
  </si>
  <si>
    <t>Nezu, Bunkyo</t>
  </si>
  <si>
    <t>Picturesque tunnel of vibrant mini torii gates, carp ponds, and historic pavilions.</t>
  </si>
  <si>
    <t>Option 2: Yanaka Ginza &amp; Cemetery</t>
  </si>
  <si>
    <t>Yanaka / Nippori</t>
  </si>
  <si>
    <t>Nostalgic shitamachi shopping street, artisan craft shops, and peaceful walking paths.</t>
  </si>
  <si>
    <t>Option 3: Ameyoko Shopping Street</t>
  </si>
  <si>
    <t>Ueno to Okachimachi</t>
  </si>
  <si>
    <t>Lively post-war market street bustling beneath the elevated railway arches.</t>
  </si>
  <si>
    <t>Nagano Station Bakery / Cafe</t>
  </si>
  <si>
    <t>Fresh Shinshu apple pastries and drip coffee before boarding morning bullet train.</t>
  </si>
  <si>
    <t>Yanaka Ginza Menchi Katsu</t>
  </si>
  <si>
    <t>Famous piping-hot crispy minced beef and pork cutlets from local butcher shops.</t>
  </si>
  <si>
    <t>Yanaka Soba / Retro Kissaten</t>
  </si>
  <si>
    <t>Artisanal buckwheat soba or siphon coffee with thick toast in old-school tearoom.</t>
  </si>
  <si>
    <t>Ueno Yakitori under the Arches</t>
  </si>
  <si>
    <t>Atmospheric open-front charcoal yakitori and draft beer under the train tracks.</t>
  </si>
  <si>
    <t>Tonkatsu Yamabe (とんかつ山家)</t>
  </si>
  <si>
    <t>Legendary high-value thick and juicy panko-crusted pork cutlet set meals.</t>
  </si>
  <si>
    <t>Yanaka Shippoya (やなかしっぽや)</t>
  </si>
  <si>
    <t>Adorable baked cake donuts crafted in the shape of striped cat tails.</t>
  </si>
  <si>
    <t>Himitsudo Kakigori (ひみつ堂)</t>
  </si>
  <si>
    <t>Famed shaved ice made with natural Nikko mountain ice and fresh fruit syrups.</t>
  </si>
  <si>
    <t>Niki no Kashi (二木の菓子)</t>
  </si>
  <si>
    <t>Ameyoko landmark wholesale candy store selling hundreds of Japanese sweets in bulk.</t>
  </si>
  <si>
    <t>Yanaka Artisan Crafts &amp; Goods</t>
  </si>
  <si>
    <t>Handmade Japanese washi paper, pottery, and cat-themed local souvenirs.</t>
  </si>
  <si>
    <t>30-10-26</t>
  </si>
  <si>
    <t>Tokyo (Asakusa, Skytree &amp; Akihabara)</t>
  </si>
  <si>
    <t>Asakusa &amp; Senso-ji</t>
  </si>
  <si>
    <t>Tokyo's oldest Buddhist temple, Kaminarimon Gate, and Kappabashi kitchen utensil street.</t>
  </si>
  <si>
    <t>Tokyo Skytree &amp; Sumida</t>
  </si>
  <si>
    <t>Futuristic 634m observation tower, shopping complex, and scenic river walk.</t>
  </si>
  <si>
    <t>Akihabara Electric Town</t>
  </si>
  <si>
    <t>World-famous hub for electronics, anime figures, retro video games, and multi-floor hobby shops.</t>
  </si>
  <si>
    <t>08:30 – 10:00</t>
  </si>
  <si>
    <t>Senso-ji Temple &amp; Asakusa Grounds</t>
  </si>
  <si>
    <t>Ginza Line Iriya → Asakusa (¥180); visit main hall and grounds early before peak crowds.</t>
  </si>
  <si>
    <t>10:00 – 11:30</t>
  </si>
  <si>
    <t>Kappabashi Kitchenware Street</t>
  </si>
  <si>
    <t>Walk west from Senso-ji; browse world-class Japanese chef knives, ceramics, and food replicas.</t>
  </si>
  <si>
    <t>11:30 – 13:30</t>
  </si>
  <si>
    <t>Azumabashi &amp; Tokyo Skytree</t>
  </si>
  <si>
    <t>Stroll towards Sumida riverfront; view Skytree and enjoy lunch around Solamachi mall.</t>
  </si>
  <si>
    <t>13:30 – 17:30</t>
  </si>
  <si>
    <t>Akihabara Electronics &amp; Anime Sweep</t>
  </si>
  <si>
    <t>Transit to Akihabara; explore Yodobashi Akiba, Super Potato retro games, Mandarake, and Radio Kaikan.</t>
  </si>
  <si>
    <t>17:30 onwards</t>
  </si>
  <si>
    <t>Return to Hotel (Iriya / Ueno)</t>
  </si>
  <si>
    <t>JR Yamanote: Akihabara → Ueno (¥160); casual evening dining and rest.</t>
  </si>
  <si>
    <t/>
  </si>
  <si>
    <t>Option 1: Senso-ji &amp; Asakusa</t>
  </si>
  <si>
    <t>Senso-ji Temple &amp; Kaminarimon</t>
  </si>
  <si>
    <t>Ancient Edo temple, iconic giant red lantern, and historic grounds.</t>
  </si>
  <si>
    <t>Option 2: Tokyo Skytree</t>
  </si>
  <si>
    <t>Tokyo Skytree &amp; Solamachi</t>
  </si>
  <si>
    <t>Futuristic 634m broadcasting tower and Sumida riverside views.</t>
  </si>
  <si>
    <t>Option 3: Akihabara Electric Town</t>
  </si>
  <si>
    <t>Radio Kaikan &amp; Yodobashi Akiba</t>
  </si>
  <si>
    <t>Iconic multi-story anime, retro gaming, and tech mega-stores.</t>
  </si>
  <si>
    <t>Tokyo Retro Kissaten / Cafe</t>
  </si>
  <si>
    <t>Morning coffee service with thick toast and boiled egg at classic Asakusa coffee houses.</t>
  </si>
  <si>
    <t>Asakusa Daikokuya Tempura / Skytree</t>
  </si>
  <si>
    <t>Crispy tendon rice bowls in Asakusa or skyline dining at Tokyo Solamachi.</t>
  </si>
  <si>
    <t>Ueno Izakaya / Asakusa Dining</t>
  </si>
  <si>
    <t>Lively yakitori under the tracks at Ameyoko or traditional soba dinner.</t>
  </si>
  <si>
    <t>Asakusa Kagetsudo Jumbo Melonpan</t>
  </si>
  <si>
    <t>Freshly baked fluffy sweet melonpan with crunchy crust.</t>
  </si>
  <si>
    <t>Asakusa Kibi Dango Azuma</t>
  </si>
  <si>
    <t>Millet dumplings coated in soybean powder with cold sweet sake.</t>
  </si>
  <si>
    <t>Kappabashi Kitchen Tools &amp; Knives</t>
  </si>
  <si>
    <t>Japanese handcrafted kitchen knives, ceramic ware, and realistic food wax models.</t>
  </si>
  <si>
    <t>31-10-26</t>
  </si>
  <si>
    <t>Tokyo (Ikebukuro, Nakameguro &amp; Tokyo Tower)</t>
  </si>
  <si>
    <t>Akihabara Mandarake &amp; Retro Games</t>
  </si>
  <si>
    <t>Rare collectibles, anime figures, and classic gaming items.</t>
  </si>
  <si>
    <t>Ikebukuro Commercial District</t>
  </si>
  <si>
    <t>Major shopping, entertainment, and anime culture hub centered around Sunshine City.</t>
  </si>
  <si>
    <t>Nakameguro &amp; Meguro River</t>
  </si>
  <si>
    <t>Trendy canal-side district with indie boutiques, cafes, and Kojima pet shop.</t>
  </si>
  <si>
    <t>Tokyo Tower &amp; Azabudai Hills</t>
  </si>
  <si>
    <t>The iconic 333-meter red landmark and Tokyo's premier modern architectural complex.</t>
  </si>
  <si>
    <t>09:30 – 13:00</t>
  </si>
  <si>
    <t>Yamanote from Uguisudani to Ikebukuro (¥210); explore Sunshine City and shopping centers.</t>
  </si>
  <si>
    <t>13:30 – 16:30</t>
  </si>
  <si>
    <t>Nakameguro Stroll &amp; Pet Shop</t>
  </si>
  <si>
    <t>Train to Nakameguro (¥350); riverside walk, boutique cafes, and visit Kojima Pet Shop.</t>
  </si>
  <si>
    <t>17:00 – 19:30</t>
  </si>
  <si>
    <t>Subway to Kamiyacho (¥180); walk past Azabudai Hills to illuminated Tokyo Tower for evening views.</t>
  </si>
  <si>
    <t>19:30 onwards</t>
  </si>
  <si>
    <t>Back to Hotel &amp; Dinner</t>
  </si>
  <si>
    <t>Return to Iriya via Oedo/Hibiya lines (~¥250); dinner in local neighborhood.</t>
  </si>
  <si>
    <t>01-11-26</t>
  </si>
  <si>
    <t>Tokyo (Harajuku, Omotesando, Ginza &amp; Ueno)</t>
  </si>
  <si>
    <t>Harajuku &amp; Omotesando</t>
  </si>
  <si>
    <t>Yoyogi Park greenery, Takeshita Street teen fashion, @Cosme Tokyo beauty flagship, and upscale tree-lined boulevards.</t>
  </si>
  <si>
    <t>Ginza Commercial Hub</t>
  </si>
  <si>
    <t>Landmark luxury shopping district, Chuo-dori pedestrian boulevard, Itoya multi-floor stationery, and architecture.</t>
  </si>
  <si>
    <t>Option 1: Tokyo Tower</t>
  </si>
  <si>
    <t>Ueno &amp; Ameyoko</t>
  </si>
  <si>
    <t>Vibrant post-war open-air shopping arcade, discount cosmetics, and Niki no Kashi wholesale confectionery haul.</t>
  </si>
  <si>
    <t>Tokyo Tower Observation Deck</t>
  </si>
  <si>
    <t>Iconic 333m communications tower offering panoramic observation deck city views.</t>
  </si>
  <si>
    <t>Yoyogi Park &amp; Harajuku Takeshita</t>
  </si>
  <si>
    <t>Subway to Yoyogi-koen (¥260); peaceful morning walk, Takeshita Dori, and @Cosme Tokyo beauty flagship.</t>
  </si>
  <si>
    <t>Option 2: Sunshine City</t>
  </si>
  <si>
    <t>11:30 – 14:30</t>
  </si>
  <si>
    <t>Sunshine City &amp; Observatory</t>
  </si>
  <si>
    <t>Omotesando &amp; Cat Street</t>
  </si>
  <si>
    <t>Massive multi-building complex featuring shopping arcades and observatory.</t>
  </si>
  <si>
    <t>Stroll tree-lined avenue, browse architectural flagships, and enjoy lunch at a stylish cafe.</t>
  </si>
  <si>
    <t>14:30 – 17:00</t>
  </si>
  <si>
    <t>Option 3: Azabudai Hills</t>
  </si>
  <si>
    <t>Ginza District (Optional)</t>
  </si>
  <si>
    <t>Azabudai Hills Complex</t>
  </si>
  <si>
    <t>Ginza Line from Omotesando to Ginza (¥180); explore Chuo-dori, Itoya stationery, and luxury shops.</t>
  </si>
  <si>
    <t>Tokyo's latest landmark architectural district featuring lush green plazas.</t>
  </si>
  <si>
    <t>Ueno Niki no Kashi Sweep</t>
  </si>
  <si>
    <t>Ginza Line to Ueno (¥180); grand finale Japanese snack and souvenir shopping haul at Niki no Kashi.</t>
  </si>
  <si>
    <t>Tokyo Farewell Dinner</t>
  </si>
  <si>
    <t>Special celebratory final Tokyo dinner in Ueno or Asakusa.</t>
  </si>
  <si>
    <t>Hotel / Local Bakery</t>
  </si>
  <si>
    <t>Quick morning pastries and pour-over coffee before morning transit to Ikebukuro.</t>
  </si>
  <si>
    <t>Sunshine City / Nakameguro Cafes</t>
  </si>
  <si>
    <t>Gourmet handmade noodles or canal-side cafe lunch in Nakameguro.</t>
  </si>
  <si>
    <t>Azabudai Hills / Ueno Izakaya</t>
  </si>
  <si>
    <t>Sophisticated dining near Tokyo Tower or casual evening yakitori back in Ueno.</t>
  </si>
  <si>
    <t>Nakameguro Onibus Coffee</t>
  </si>
  <si>
    <t>Famous third-wave artisanal pour-over coffee right beside the railway line.</t>
  </si>
  <si>
    <t>Sunshine City Crepes &amp; Parfaits</t>
  </si>
  <si>
    <t>Option 1: Yoyogi &amp; Meiji Jingu</t>
  </si>
  <si>
    <t>Japanese thin dessert crepes and matcha soft serve sweets.</t>
  </si>
  <si>
    <t>Yoyogi Park &amp; Meiji Shrine</t>
  </si>
  <si>
    <t>Expansive tranquil parkland and Tokyo's premier wooded Shinto shrine forest.</t>
  </si>
  <si>
    <t>Kojima Pet Shop Nakameguro</t>
  </si>
  <si>
    <t>Option 2: Ginza Chuo-dori</t>
  </si>
  <si>
    <t>Extensive selection of premium Japanese pet accessories, treats, and toys.</t>
  </si>
  <si>
    <t>Ginza Itoya &amp; Chuo-dori</t>
  </si>
  <si>
    <t>Prestigious avenue, 12 floors of fine stationery at Ginza Itoya, and architecture.</t>
  </si>
  <si>
    <t>Option 3: Ameyoko Market</t>
  </si>
  <si>
    <t>Ueno Ameyoko Arcade</t>
  </si>
  <si>
    <t>Historic railway market avenue with lively vendor banter and vibrant local buzz.</t>
  </si>
  <si>
    <t>Animate &amp; Pokemon Center Ikebukuro</t>
  </si>
  <si>
    <t>Harajuku / Ueno Cafe</t>
  </si>
  <si>
    <t>World's largest anime goods flagship store and Pokemon Center Mega Tokyo.</t>
  </si>
  <si>
    <t>Light pastry breakfast and fresh pour-over coffee before morning walk.</t>
  </si>
  <si>
    <t>Omotesando Hills / Cat Street</t>
  </si>
  <si>
    <t>Stylish terrace dining, artisan soba, or gourmet sandwiches.</t>
  </si>
  <si>
    <t>Tokyo Farewell Celebration</t>
  </si>
  <si>
    <t>Special sukiyaki, shabu-shabu, or top-grade sushi feast in Ginza or Ueno.</t>
  </si>
  <si>
    <t>Marion Crepes Harajuku</t>
  </si>
  <si>
    <t>Iconic fresh-rolled crepe filled with strawberries, whipped cream, and chocolate.</t>
  </si>
  <si>
    <t>Ginza Kimuraya Anpan</t>
  </si>
  <si>
    <t>Japan's oldest bakery serving traditional sake-yeast buns with sweet bean paste.</t>
  </si>
  <si>
    <t>@Cosme Tokyo Flagship</t>
  </si>
  <si>
    <t>Huge 3-floor cosmetic sanctuary featuring best-selling J-beauty and skin care products.</t>
  </si>
  <si>
    <t>Legendary bulk snack emporium in Ameyoko with hundreds of Japanese kitkats and treats.</t>
  </si>
  <si>
    <t>Tokyo - Haneda Airport (Departure)</t>
  </si>
  <si>
    <t>Hotel (Ueno / Iriya)</t>
  </si>
  <si>
    <t>Base hotel checkout point and luggage consolidation.</t>
  </si>
  <si>
    <t>Ueno / Tokyo Station</t>
  </si>
  <si>
    <t>Transit hub connecting to Tokyo Monorail or Keikyu Line direct to the airport.</t>
  </si>
  <si>
    <t>Haneda International Airport (HND)</t>
  </si>
  <si>
    <t>World-class departure terminal featuring Edo Market dining and flight departure gates.</t>
  </si>
  <si>
    <t>Hotel Checkout &amp; Final Packing</t>
  </si>
  <si>
    <t>Consolidate luggage and shopping hauls; double check passports, tickets, and tax-free items; check out.</t>
  </si>
  <si>
    <t>10:00 – 12:00</t>
  </si>
  <si>
    <t>Last-Minute Ueno Stroll</t>
  </si>
  <si>
    <t>Enjoy a relaxed morning coffee, last walk through Ueno Park or station shops, and collect stored luggage.</t>
  </si>
  <si>
    <t>12:00 – 13:30</t>
  </si>
  <si>
    <t>Transit to Haneda Airport</t>
  </si>
  <si>
    <t>Take JR Yamanote to Hamamatsucho → Tokyo Monorail directly to Haneda Airport Terminal 3.</t>
  </si>
  <si>
    <t>Airline Check-in &amp; Security</t>
  </si>
  <si>
    <t>Drop checked bags at counter, process tax-free export customs, pass through security and immigration.</t>
  </si>
  <si>
    <t>15:30 – Departure</t>
  </si>
  <si>
    <t>Edo Market &amp; Boarding Gate</t>
  </si>
  <si>
    <t>Explore Edo Ko-koji traditional market street, duty-free shopping, gate boarding, and flight departure.</t>
  </si>
  <si>
    <t>Ueno Bakery Cafe / Hotel</t>
  </si>
  <si>
    <t>Fresh pastries and coffee near hotel before checking out.</t>
  </si>
  <si>
    <t>Haneda Edo Market Dining</t>
  </si>
  <si>
    <t>Terminal 3 (4F); authentic ramen, katsudon, or sushi before passing security gates.</t>
  </si>
  <si>
    <t>In-flight Meal Service</t>
  </si>
  <si>
    <t>Full international flight dinner service and refreshments.</t>
  </si>
  <si>
    <t>Haneda Airport Observation Deck</t>
  </si>
  <si>
    <t>Terminal 3 (5F); panoramic open-air observation deck with runway views of taking-off planes.</t>
  </si>
  <si>
    <t>Snack Option</t>
  </si>
  <si>
    <t>Tokyo Banana &amp; Shiroi Koibito</t>
  </si>
  <si>
    <t>Iconic Tokyo Banana custard sponge cakes and premium Hokkaido confectionery at duty-free.</t>
  </si>
  <si>
    <t>Shopping Option</t>
  </si>
  <si>
    <t>Haneda Duty-Free Boutiques</t>
  </si>
  <si>
    <t>Tax-free Japanese cosmetics, specialty single-malt whisky, green tea, and airport exclusives.</t>
  </si>
  <si>
    <t>Hotel Name:</t>
  </si>
  <si>
    <t>Scenario</t>
  </si>
  <si>
    <t>English</t>
  </si>
  <si>
    <t>Japanese</t>
  </si>
  <si>
    <t>Romanisation</t>
  </si>
  <si>
    <t>Option 1: Haneda Observation Deck</t>
  </si>
  <si>
    <t>Basic</t>
  </si>
  <si>
    <t>Terminal 3 (5F)</t>
  </si>
  <si>
    <t>ホテル名：</t>
  </si>
  <si>
    <t>Hello / Good day</t>
  </si>
  <si>
    <t>こんにちは</t>
  </si>
  <si>
    <t>Konnichiwa</t>
  </si>
  <si>
    <t>Expansive open-air deck offering dramatic views of aircraft taking off against Tokyo Bay.</t>
  </si>
  <si>
    <t>Good morning</t>
  </si>
  <si>
    <t>おはようございます</t>
  </si>
  <si>
    <t>Ohayou gozaimasu</t>
  </si>
  <si>
    <t>Option 2: Edo Ko-koji Market Street</t>
  </si>
  <si>
    <t>Terminal 3 (4F)</t>
  </si>
  <si>
    <t>Faithfully recreated Edo-period wooden shopping street and bridge inside modern airport.</t>
  </si>
  <si>
    <t>Good evening</t>
  </si>
  <si>
    <t>こんばんは</t>
  </si>
  <si>
    <t>Konbanwa</t>
  </si>
  <si>
    <t>Thank you</t>
  </si>
  <si>
    <t>ありがとうございます</t>
  </si>
  <si>
    <t>Arigatou gozaimasu</t>
  </si>
  <si>
    <t>Excuse me / Sorry</t>
  </si>
  <si>
    <t>すみません</t>
  </si>
  <si>
    <t>Sumimasen</t>
  </si>
  <si>
    <t>Fresh croissants, sandwiches, and hot coffee near hotel before checking out.</t>
  </si>
  <si>
    <t>You're welcome</t>
  </si>
  <si>
    <t>どういたしまして</t>
  </si>
  <si>
    <t>Dou itashimashite</t>
  </si>
  <si>
    <t>はい</t>
  </si>
  <si>
    <t>松本市</t>
  </si>
  <si>
    <t>Haneda Edo Ko-koji Dining</t>
  </si>
  <si>
    <t>Hai</t>
  </si>
  <si>
    <t>Terminal 3 (4F); authentic steaming udon, tonkatsu, or Edomae sushi before security.</t>
  </si>
  <si>
    <t>No</t>
  </si>
  <si>
    <t>いいえ</t>
  </si>
  <si>
    <t>Iie</t>
  </si>
  <si>
    <t>Recipient:</t>
  </si>
  <si>
    <t>Please</t>
  </si>
  <si>
    <t>Hitoshinaya (ひとしなや)</t>
  </si>
  <si>
    <t>お願いします</t>
  </si>
  <si>
    <t>SARI PUTRA GUNAWAN</t>
  </si>
  <si>
    <t>Terminal 1/3; soothing Japanese dashi porridge, fresh fish sets, and morning rice.</t>
  </si>
  <si>
    <t>Onegaishimasu</t>
  </si>
  <si>
    <t>It's okay / No problem</t>
  </si>
  <si>
    <t>大丈夫です</t>
  </si>
  <si>
    <t>宿泊者名：</t>
  </si>
  <si>
    <t>Daijoubu desu</t>
  </si>
  <si>
    <t>SARI PUTRA GUNAWAN 様</t>
  </si>
  <si>
    <t>Full scheduled international flight dinner service, beverages, and desserts.</t>
  </si>
  <si>
    <t>I understand</t>
  </si>
  <si>
    <t>わかります</t>
  </si>
  <si>
    <t>Wakarimasu</t>
  </si>
  <si>
    <t>Snacks &amp; Airport Treats</t>
  </si>
  <si>
    <t>I don't understand</t>
  </si>
  <si>
    <t>わかりません</t>
  </si>
  <si>
    <t>Wakarimasen</t>
  </si>
  <si>
    <t>Tokyo Banana &amp; Castella</t>
  </si>
  <si>
    <t>I don't speak Japanese well</t>
  </si>
  <si>
    <t>Signature banana-custard filled sponge cakes and seasonal Tokyo airport sweets.</t>
  </si>
  <si>
    <t>日本語があまり話せません</t>
  </si>
  <si>
    <t>Nihongo ga amari hanasemasen</t>
  </si>
  <si>
    <t>(Check-in: 2026/10/20)</t>
  </si>
  <si>
    <t>Do you speak English?</t>
  </si>
  <si>
    <t>Shiroi Koibito &amp; Royce Chocolate</t>
  </si>
  <si>
    <t>英語を話せますか？</t>
  </si>
  <si>
    <t>（2026年10月20日チェックイン）</t>
  </si>
  <si>
    <t>Premier Hokkaido white chocolate langue de chat cookies and rich nama chocolate.</t>
  </si>
  <si>
    <t>Eigo o hanasemasu ka?</t>
  </si>
  <si>
    <t>Please speak slowly</t>
  </si>
  <si>
    <t>ゆっくり話してください</t>
  </si>
  <si>
    <t>Yukkuri hanashite kudasai</t>
  </si>
  <si>
    <t>Please say that again</t>
  </si>
  <si>
    <t>もう一度お願いします</t>
  </si>
  <si>
    <t>Mou ichido onegaishimasu</t>
  </si>
  <si>
    <t>What does this mean?</t>
  </si>
  <si>
    <t>これはどういう意味ですか？</t>
  </si>
  <si>
    <t>Tax-free cosmetics, Japanese skincare flagships, and luxury goods.</t>
  </si>
  <si>
    <t>Kore wa dou iu imi desu ka?</t>
  </si>
  <si>
    <t>Phone:</t>
  </si>
  <si>
    <t>Can I ask a question?</t>
  </si>
  <si>
    <t>質問してもいいですか？</t>
  </si>
  <si>
    <t>電話番号：</t>
  </si>
  <si>
    <t>Shitsumon shite mo ii desu ka?</t>
  </si>
  <si>
    <t>Restaurant</t>
  </si>
  <si>
    <t>Excuse me</t>
  </si>
  <si>
    <t>Japanese Whisky &amp; Green Tea Gift Shop</t>
  </si>
  <si>
    <t>A table for two, please</t>
  </si>
  <si>
    <t>2人です</t>
  </si>
  <si>
    <t>2026年10月20日</t>
  </si>
  <si>
    <t>Futari desu</t>
  </si>
  <si>
    <t>Tax-free Japanese single-malt whiskies, sake, matcha gift tins, and confection sets.</t>
  </si>
  <si>
    <t>Address:</t>
  </si>
  <si>
    <t>Do you have a table available?</t>
  </si>
  <si>
    <t>席は空いていますか？</t>
  </si>
  <si>
    <t>Seki wa aiteimasu ka?</t>
  </si>
  <si>
    <t>1-10-7 Chuo, Matsumoto, Nagano 390-0811, Japan</t>
  </si>
  <si>
    <t>Can we eat here?</t>
  </si>
  <si>
    <t>ここで食べられますか？</t>
  </si>
  <si>
    <t>Koko de taberaremasu ka?</t>
  </si>
  <si>
    <t>住所：</t>
  </si>
  <si>
    <t>Do you have an English menu?</t>
  </si>
  <si>
    <t>英語のメニューはありますか？</t>
  </si>
  <si>
    <t>〒390-0811長野県松本市中央1丁目10番7号</t>
  </si>
  <si>
    <t>Eigo no menyuu wa arimasu ka?</t>
  </si>
  <si>
    <t>Can I see the menu?</t>
  </si>
  <si>
    <t>メニューを見せてもらえますか？</t>
  </si>
  <si>
    <t>Menyuu o misete moraemasu ka?</t>
  </si>
  <si>
    <t>I'd like this one</t>
  </si>
  <si>
    <t>これをお願いします</t>
  </si>
  <si>
    <t>Kore o onegaishimasu</t>
  </si>
  <si>
    <t>I'll have this</t>
  </si>
  <si>
    <t>これにします</t>
  </si>
  <si>
    <t>Kore ni shimasu</t>
  </si>
  <si>
    <t>One of these, please</t>
  </si>
  <si>
    <t>これを1つお願いします</t>
  </si>
  <si>
    <t>Kore o hitotsu onegaishimasu</t>
  </si>
  <si>
    <t>Two of these, please</t>
  </si>
  <si>
    <t>これを2つお願いします</t>
  </si>
  <si>
    <t>Kore o futatsu onegaishimasu</t>
  </si>
  <si>
    <t>What do you recommend?</t>
  </si>
  <si>
    <t>おすすめは何ですか？</t>
  </si>
  <si>
    <t>Osusume wa nan desu ka?</t>
  </si>
  <si>
    <t>What's popular here?</t>
  </si>
  <si>
    <t>何が人気ですか？</t>
  </si>
  <si>
    <t>Nani ga ninki desu ka?</t>
  </si>
  <si>
    <t>Is this spicy?</t>
  </si>
  <si>
    <t>これは辛いですか？</t>
  </si>
  <si>
    <t>Kore wa karai desu ka?</t>
  </si>
  <si>
    <t>Is this sweet?</t>
  </si>
  <si>
    <t>金沢市</t>
  </si>
  <si>
    <t>これは甘いですか？</t>
  </si>
  <si>
    <t>Kore wa amai desu ka?</t>
  </si>
  <si>
    <t>Does this contain pork?</t>
  </si>
  <si>
    <t>これは豚肉が入っていますか？</t>
  </si>
  <si>
    <t>Kore wa butaniku ga haitteimasu ka?</t>
  </si>
  <si>
    <t>Does this contain beef?</t>
  </si>
  <si>
    <t>これは牛肉が入っていますか？</t>
  </si>
  <si>
    <t>Kore wa gyuuniku ga haitteimasu ka?</t>
  </si>
  <si>
    <t>Does this contain seafood?</t>
  </si>
  <si>
    <t>これは魚介類が入っていますか？</t>
  </si>
  <si>
    <t>(Check-in: 2026/10/25)</t>
  </si>
  <si>
    <t>Kore wa gyokairui ga haitteimasu ka?</t>
  </si>
  <si>
    <t>（2026年10月25日チェックイン）</t>
  </si>
  <si>
    <t>No pork, please</t>
  </si>
  <si>
    <t>豚肉なしでお願いします</t>
  </si>
  <si>
    <t>Butaniku nashi de onegaishimasu</t>
  </si>
  <si>
    <t>No meat, please</t>
  </si>
  <si>
    <t>肉なしでお願いします</t>
  </si>
  <si>
    <t>Niku nashi de onegaishimasu</t>
  </si>
  <si>
    <t>+81-76-203-6611</t>
  </si>
  <si>
    <t>Can I have some water?</t>
  </si>
  <si>
    <t>お水をお願いします</t>
  </si>
  <si>
    <t>Omizu o onegaishimasu</t>
  </si>
  <si>
    <t>Can I have another one?</t>
  </si>
  <si>
    <t>もう一つお願いします</t>
  </si>
  <si>
    <t>Mou hitotsu onegaishimasu</t>
  </si>
  <si>
    <t>Can we share this?</t>
  </si>
  <si>
    <t>これをシェアしてもいいですか？</t>
  </si>
  <si>
    <t>Kore o shea shite mo ii desu ka?</t>
  </si>
  <si>
    <t>2026年10月25日</t>
  </si>
  <si>
    <t>Can I get this to go?</t>
  </si>
  <si>
    <t>2-20 Horikawa Shinmachi, Kanazawa, Ishikawa 920-0849, Japan</t>
  </si>
  <si>
    <t>これは持ち帰りできますか？</t>
  </si>
  <si>
    <t>Kore wa mochikaeri dekimasu ka?</t>
  </si>
  <si>
    <t>〒920-0849 石川県金沢市堀川新町2-20</t>
  </si>
  <si>
    <t>The bill, please</t>
  </si>
  <si>
    <t>お会計お願いします</t>
  </si>
  <si>
    <t>Okaikei onegaishimasu</t>
  </si>
  <si>
    <t>Can I pay by card?</t>
  </si>
  <si>
    <t>カードで払えますか？</t>
  </si>
  <si>
    <t>Kaado de haraemasu ka?</t>
  </si>
  <si>
    <t>Can I pay separately?</t>
  </si>
  <si>
    <t>別々に払えますか？</t>
  </si>
  <si>
    <t>Betsubetsu ni haraemasu ka?</t>
  </si>
  <si>
    <t>Thank you, it was delicious</t>
  </si>
  <si>
    <t>ごちそうさまでした</t>
  </si>
  <si>
    <t>Gochisousama deshita</t>
  </si>
  <si>
    <t>Convenience Store</t>
  </si>
  <si>
    <t>Where is the restroom?</t>
  </si>
  <si>
    <t>トイレはどこですか？</t>
  </si>
  <si>
    <t>Toire wa doko desu ka?</t>
  </si>
  <si>
    <t>Meaning</t>
  </si>
  <si>
    <t>Where can I pay?</t>
  </si>
  <si>
    <t>お会計はどこですか？</t>
  </si>
  <si>
    <t>Okaikei wa doko desu ka?</t>
  </si>
  <si>
    <t>Can I use this?</t>
  </si>
  <si>
    <t>これは使えますか？</t>
  </si>
  <si>
    <t>Kore wa tsukaemasu ka?</t>
  </si>
  <si>
    <t>No bag, please</t>
  </si>
  <si>
    <t>袋はいりません</t>
  </si>
  <si>
    <t>Fukuro wa irimasen</t>
  </si>
  <si>
    <t>A bag, please</t>
  </si>
  <si>
    <t>袋をお願いします</t>
  </si>
  <si>
    <t>Fukuro o onegaishimasu</t>
  </si>
  <si>
    <t>One bag, please</t>
  </si>
  <si>
    <t>袋を1枚お願いします</t>
  </si>
  <si>
    <t>Fukuro o ichimai onegaishimasu</t>
  </si>
  <si>
    <t>Romanization</t>
  </si>
  <si>
    <t>That's all</t>
  </si>
  <si>
    <t>以上です</t>
  </si>
  <si>
    <t>Ijou desu</t>
  </si>
  <si>
    <t>Shopping</t>
  </si>
  <si>
    <t>How much is this?</t>
  </si>
  <si>
    <t>Field</t>
  </si>
  <si>
    <t>これはいくらですか？</t>
  </si>
  <si>
    <t>Kore wa ikura desu ka?</t>
  </si>
  <si>
    <t>Do you have this in another color?</t>
  </si>
  <si>
    <t>別の色はありますか？</t>
  </si>
  <si>
    <t>Betsu no iro wa arimasu ka?</t>
  </si>
  <si>
    <t>Example</t>
  </si>
  <si>
    <t>Do you have a larger size?</t>
  </si>
  <si>
    <t>もっと大きいサイズはありますか？</t>
  </si>
  <si>
    <t>Motto ookii saizu wa arimasu ka?</t>
  </si>
  <si>
    <t>Do you have a smaller size?</t>
  </si>
  <si>
    <t>もっと小さいサイズはありますか？</t>
  </si>
  <si>
    <t>Motto chiisai saizu wa arimasu ka?</t>
  </si>
  <si>
    <t>Can I try this on?</t>
  </si>
  <si>
    <t>試着してもいいですか？</t>
  </si>
  <si>
    <t>Shichaku shite mo ii desu ka?</t>
  </si>
  <si>
    <t>I would like to send my suitcase to my next hotel</t>
  </si>
  <si>
    <t>Where is the fitting room?</t>
  </si>
  <si>
    <t>試着室はどこですか？</t>
  </si>
  <si>
    <t>Shichakushitsu wa doko desu ka?</t>
  </si>
  <si>
    <t>I'll take this</t>
  </si>
  <si>
    <t>次のホテルにスーツケースを送りたいです。</t>
  </si>
  <si>
    <t>I'm just looking</t>
  </si>
  <si>
    <t>見ているだけです</t>
  </si>
  <si>
    <t>Tsugi no hoteru ni sūtsū kēsu o okuritai desu.</t>
  </si>
  <si>
    <t>Mite iru dake desu</t>
  </si>
  <si>
    <t>Do you have any more?</t>
  </si>
  <si>
    <t>まだありますか？</t>
  </si>
  <si>
    <t>Mada arimasu ka?</t>
  </si>
  <si>
    <t>Guest Name</t>
  </si>
  <si>
    <t>Is this tax-free?</t>
  </si>
  <si>
    <t>これは免税できますか？</t>
  </si>
  <si>
    <t>Kore wa menzei dekimasu ka?</t>
  </si>
  <si>
    <t>宿泊者名 (Shukuhakusha-mei)</t>
  </si>
  <si>
    <t>Can I get a tax refund?</t>
  </si>
  <si>
    <t>免税できますか？</t>
  </si>
  <si>
    <t>Menzei dekimasu ka?</t>
  </si>
  <si>
    <t>Can I get a receipt?</t>
  </si>
  <si>
    <t>レシートをお願いします</t>
  </si>
  <si>
    <t>Reshiito o onegaishimasu</t>
  </si>
  <si>
    <t>Can you put these together?</t>
  </si>
  <si>
    <t>I want to send my luggage to a hotel.</t>
  </si>
  <si>
    <t>一緒にしてください</t>
  </si>
  <si>
    <t>Issho ni shite kudasai</t>
  </si>
  <si>
    <t>Can you wrap this?</t>
  </si>
  <si>
    <t>荷物をホテルへ送りたいです。</t>
  </si>
  <si>
    <t>包んでもらえますか？</t>
  </si>
  <si>
    <t>Tsutsunde moraemasu ka?</t>
  </si>
  <si>
    <t>Hotel</t>
  </si>
  <si>
    <t>Nimotsu o hoteru e okuritai desu.</t>
  </si>
  <si>
    <t>Check-in, please</t>
  </si>
  <si>
    <t>チェックインをお願いします</t>
  </si>
  <si>
    <t>Chekku-in o onegaishimasu</t>
  </si>
  <si>
    <t>Check-in Date</t>
  </si>
  <si>
    <t>I have a reservation</t>
  </si>
  <si>
    <t>予約しています</t>
  </si>
  <si>
    <t>Yoyaku shiteimasu</t>
  </si>
  <si>
    <t>チェックイン日 (Chekku-in-bi)</t>
  </si>
  <si>
    <t>10月30日チェックイン</t>
  </si>
  <si>
    <t>I have a reservation under [name]</t>
  </si>
  <si>
    <t>[名前]で予約しています</t>
  </si>
  <si>
    <t>[Namae] de yoyaku shiteimasu</t>
  </si>
  <si>
    <t>Can I leave my luggage here?</t>
  </si>
  <si>
    <t>荷物を預けてもいいですか？</t>
  </si>
  <si>
    <t>Nimotsu o azukete mo ii desu ka?</t>
  </si>
  <si>
    <t>Can I leave my luggage before check-in?</t>
  </si>
  <si>
    <t>チェックイン前に荷物を預けてもいいですか？</t>
  </si>
  <si>
    <t>Chekku-in mae ni nimotsu o azukete mo ii desu ka?</t>
  </si>
  <si>
    <t>Please send it to this hotel.</t>
  </si>
  <si>
    <t>Can I leave my luggage after check-out?</t>
  </si>
  <si>
    <t>チェックアウト後に荷物を預けてもいいですか？</t>
  </si>
  <si>
    <t>このホテルへ送ってください。</t>
  </si>
  <si>
    <t>Chekku-auto go ni nimotsu o azukete mo ii desu ka?</t>
  </si>
  <si>
    <t>Kono hoteru e okutte kudasai.</t>
  </si>
  <si>
    <t>Where is the elevator?</t>
  </si>
  <si>
    <t>エレベーターはどこですか？</t>
  </si>
  <si>
    <t>Erebeetaa wa doko desu ka?</t>
  </si>
  <si>
    <t>What time is breakfast?</t>
  </si>
  <si>
    <t>Contents</t>
  </si>
  <si>
    <t>朝食は何時ですか？</t>
  </si>
  <si>
    <t>Choushoku wa nanji desu ka?</t>
  </si>
  <si>
    <t>品名 (Hinmei)</t>
  </si>
  <si>
    <t>What time is check-out?</t>
  </si>
  <si>
    <t>チェックアウトは何時ですか？</t>
  </si>
  <si>
    <t>Chekku-auto wa nanji desu ka?</t>
  </si>
  <si>
    <t>スーツケース / 衣類・身の回り品</t>
  </si>
  <si>
    <t>Can I get another key?</t>
  </si>
  <si>
    <t>鍵をもう一つもらえますか？</t>
  </si>
  <si>
    <t>Kagi o mou hitotsu moraemasu ka?</t>
  </si>
  <si>
    <t>The Wi-Fi isn't working</t>
  </si>
  <si>
    <t>Wi-Fiがつながりません</t>
  </si>
  <si>
    <t>Wai-fai ga tsunagarimasen</t>
  </si>
  <si>
    <t>The air conditioner isn't working</t>
  </si>
  <si>
    <t>エアコンが動きません</t>
  </si>
  <si>
    <t>Eakon ga ugokimasen</t>
  </si>
  <si>
    <t>I will be staying at this hotel.</t>
  </si>
  <si>
    <t>There is a problem with the room</t>
  </si>
  <si>
    <t>部屋に問題があります</t>
  </si>
  <si>
    <t>Heya ni mondai ga arimasu</t>
  </si>
  <si>
    <t>このホテルに宿泊します。</t>
  </si>
  <si>
    <t>Can you help me?</t>
  </si>
  <si>
    <t>手伝ってもらえますか？</t>
  </si>
  <si>
    <t>Tetsudatte moraemasu ka?</t>
  </si>
  <si>
    <t>Kono hoteru ni shukuhaku shimasu.</t>
  </si>
  <si>
    <t>Where can I throw this away?</t>
  </si>
  <si>
    <t>これはどこに捨てればいいですか？</t>
  </si>
  <si>
    <t>Destination</t>
  </si>
  <si>
    <t>Kore wa doko ni sutereba ii desu ka?</t>
  </si>
  <si>
    <t>Train / Station</t>
  </si>
  <si>
    <t>お届け先 (Otodoke-saki)</t>
  </si>
  <si>
    <t>Hotel name, address, phone</t>
  </si>
  <si>
    <t>Where is the station?</t>
  </si>
  <si>
    <t>駅はどこですか？</t>
  </si>
  <si>
    <t>Eki wa doko desu ka?</t>
  </si>
  <si>
    <t>Where is the ticket gate?</t>
  </si>
  <si>
    <t>改札はどこですか？</t>
  </si>
  <si>
    <t>Kaisatsu wa doko desu ka?</t>
  </si>
  <si>
    <t>Where is platform 1?</t>
  </si>
  <si>
    <t>1番線はどこですか？</t>
  </si>
  <si>
    <t>Ichi-bansen wa doko desu ka?</t>
  </si>
  <si>
    <t>I will be staying at the next hotel.</t>
  </si>
  <si>
    <t>Which platform should I use?</t>
  </si>
  <si>
    <t>何番線ですか？</t>
  </si>
  <si>
    <t>Nan-bansen desu ka?</t>
  </si>
  <si>
    <t>次のホテルに宿泊します。</t>
  </si>
  <si>
    <t>Does this train go to [place]?</t>
  </si>
  <si>
    <t>この電車は[場所]に行きますか？</t>
  </si>
  <si>
    <t>Kono densha wa [basho] ni ikimasu ka?</t>
  </si>
  <si>
    <t>Tsugi no hoteru ni shukuhaku shimasu.</t>
  </si>
  <si>
    <t>Is this the train to [place]?</t>
  </si>
  <si>
    <t>これは[場所]行きの電車ですか？</t>
  </si>
  <si>
    <t>Sender</t>
  </si>
  <si>
    <t>Kore wa [basho] yuki no densha desu ka?</t>
  </si>
  <si>
    <t>Where should I get off?</t>
  </si>
  <si>
    <t>どこで降りればいいですか？</t>
  </si>
  <si>
    <t>ご依頼主 (Go-irainushi)</t>
  </si>
  <si>
    <t>Doko de orireba ii desu ka?</t>
  </si>
  <si>
    <t>Do I need to transfer?</t>
  </si>
  <si>
    <t>Current hotel details</t>
  </si>
  <si>
    <t>乗り換えが必要ですか？</t>
  </si>
  <si>
    <t>Norikae ga hitsuyou desu ka?</t>
  </si>
  <si>
    <t>I have one suitcase.</t>
  </si>
  <si>
    <t>Where do I transfer?</t>
  </si>
  <si>
    <t>どこで乗り換えますか？</t>
  </si>
  <si>
    <t>Doko de norikaemasu ka?</t>
  </si>
  <si>
    <t>Is this seat reserved?</t>
  </si>
  <si>
    <t>この席は指定席ですか？</t>
  </si>
  <si>
    <t>Kono seki wa shitei-seki desu ka?</t>
  </si>
  <si>
    <t>Is this a reserved seat?</t>
  </si>
  <si>
    <t>これは指定席ですか？</t>
  </si>
  <si>
    <t>Kore wa shitei-seki desu ka?</t>
  </si>
  <si>
    <t>スーツケースが1つあります。</t>
  </si>
  <si>
    <t>Where is the reserved-seat car?</t>
  </si>
  <si>
    <t>指定席の車両はどこですか？</t>
  </si>
  <si>
    <t>Shitei-seki no sharyou wa doko desu ka?</t>
  </si>
  <si>
    <t>Where can I buy a ticket?</t>
  </si>
  <si>
    <t>Sūtsū kēsu ga hitotsu arimasu.</t>
  </si>
  <si>
    <t>切符はどこで買えますか？</t>
  </si>
  <si>
    <t>Kippu wa doko de kaemasu ka?</t>
  </si>
  <si>
    <t>Can I use a credit card?</t>
  </si>
  <si>
    <t>クレジットカードは使えますか？</t>
  </si>
  <si>
    <t>Kurejitto kaado wa tsukaemasu ka?</t>
  </si>
  <si>
    <t>Can I use an IC card?</t>
  </si>
  <si>
    <t>ICカードは使えますか？</t>
  </si>
  <si>
    <t>Ai-shii kaado wa tsukaemasu ka?</t>
  </si>
  <si>
    <t>Bus</t>
  </si>
  <si>
    <t>Where is the bus stop?</t>
  </si>
  <si>
    <t>バス停はどこですか？</t>
  </si>
  <si>
    <t>Basu-tei wa doko desu ka?</t>
  </si>
  <si>
    <t>I have two suitcases.</t>
  </si>
  <si>
    <t>Does this bus go to [place]?</t>
  </si>
  <si>
    <t>このバスは[場所]に行きますか？</t>
  </si>
  <si>
    <t>Kono basu wa [basho] ni ikimasu ka?</t>
  </si>
  <si>
    <t>スーツケースが2つあります。</t>
  </si>
  <si>
    <t>Is this the bus to [place]?</t>
  </si>
  <si>
    <t>これは[場所]行きのバスですか？</t>
  </si>
  <si>
    <t>Kore wa [basho] yuki no basu desu ka?</t>
  </si>
  <si>
    <t>Sūtsū kēsu ga futatsu arimasu.</t>
  </si>
  <si>
    <t>How much is it?</t>
  </si>
  <si>
    <t>いくらですか？</t>
  </si>
  <si>
    <t>Ikura desu ka?</t>
  </si>
  <si>
    <t>Where do I pay?</t>
  </si>
  <si>
    <t>どこで払いますか？</t>
  </si>
  <si>
    <t>Doko de haraimasu ka?</t>
  </si>
  <si>
    <t>I will send luggage to multiple hotels during my trip.</t>
  </si>
  <si>
    <t>旅行中に複数のホテルへ送ります。</t>
  </si>
  <si>
    <t>Is this bus reserved?</t>
  </si>
  <si>
    <t>このバスは予約が必要ですか？</t>
  </si>
  <si>
    <t>Kono basu wa yoyaku ga hitsuyou desu ka?</t>
  </si>
  <si>
    <t>Ryokō-chū ni fukusū no hoteru e okurimasu.</t>
  </si>
  <si>
    <t>Can I put my luggage here?</t>
  </si>
  <si>
    <t>荷物をここに置いてもいいですか？</t>
  </si>
  <si>
    <t>Nimotsu o koko ni oite mo ii desu ka?</t>
  </si>
  <si>
    <t>Taxi</t>
  </si>
  <si>
    <t>Please store it according to my check-in date.</t>
  </si>
  <si>
    <t>Please take me to this address</t>
  </si>
  <si>
    <t>この住所までお願いします</t>
  </si>
  <si>
    <t>チェックイン日に合わせて預かってもらえますか？</t>
  </si>
  <si>
    <t>Kono juusho made onegaishimasu</t>
  </si>
  <si>
    <t>Please go here</t>
  </si>
  <si>
    <t>Chekku-in-bi ni awasete azukatte moraemasu ka?</t>
  </si>
  <si>
    <t>ここまでお願いします</t>
  </si>
  <si>
    <t>Koko made onegaishimasu</t>
  </si>
  <si>
    <t>How long will it take?</t>
  </si>
  <si>
    <t>どのくらいかかりますか？</t>
  </si>
  <si>
    <t>Dono kurai kakarimasu ka?</t>
  </si>
  <si>
    <t>How much will it cost?</t>
  </si>
  <si>
    <t>いくらくらいかかりますか？</t>
  </si>
  <si>
    <t>Ikura kurai kakarimasu ka?</t>
  </si>
  <si>
    <t>Will it be managed by my name and check-in date?</t>
  </si>
  <si>
    <t>Please stop here</t>
  </si>
  <si>
    <t>ここでお願いします</t>
  </si>
  <si>
    <t>Koko de onegaishimasu</t>
  </si>
  <si>
    <t>名前とチェックイン日で管理されますか？</t>
  </si>
  <si>
    <t>Namae to chekku-in-bi de kanri saremasu ka?</t>
  </si>
  <si>
    <t>Directions</t>
  </si>
  <si>
    <t>Where is [place]?</t>
  </si>
  <si>
    <t>[場所]はどこですか？</t>
  </si>
  <si>
    <t>[Basho] wa doko desu ka?</t>
  </si>
  <si>
    <t>How do I get to [place]?</t>
  </si>
  <si>
    <t>[場所]へはどう行けばいいですか？</t>
  </si>
  <si>
    <t>[Basho] e wa dou ikeba ii desu ka?</t>
  </si>
  <si>
    <t>When will it arrive?</t>
  </si>
  <si>
    <t>Is it far?</t>
  </si>
  <si>
    <t>遠いですか？</t>
  </si>
  <si>
    <t>Tooi desu ka?</t>
  </si>
  <si>
    <t>Is it close?</t>
  </si>
  <si>
    <t>近いですか？</t>
  </si>
  <si>
    <t>いつ届きますか？</t>
  </si>
  <si>
    <t>Chikai desu ka?</t>
  </si>
  <si>
    <t>How long does it take on foot?</t>
  </si>
  <si>
    <t>Itsu todokimasu ka?</t>
  </si>
  <si>
    <t>歩いてどのくらいかかりますか？</t>
  </si>
  <si>
    <t>Aruite dono kurai kakarimasu ka?</t>
  </si>
  <si>
    <t>Which way?</t>
  </si>
  <si>
    <t>どちらですか？</t>
  </si>
  <si>
    <t>Dochira desu ka?</t>
  </si>
  <si>
    <t>Left</t>
  </si>
  <si>
    <t>左</t>
  </si>
  <si>
    <t>ひだり</t>
  </si>
  <si>
    <t>Hidari</t>
  </si>
  <si>
    <t>Right</t>
  </si>
  <si>
    <t>Will it arrive before my check-in date?</t>
  </si>
  <si>
    <t>右</t>
  </si>
  <si>
    <t>みぎ</t>
  </si>
  <si>
    <t>Migi</t>
  </si>
  <si>
    <t>チェックイン前に届きますか？</t>
  </si>
  <si>
    <t>Straight ahead</t>
  </si>
  <si>
    <t>まっすぐ</t>
  </si>
  <si>
    <t>Massugu</t>
  </si>
  <si>
    <t>Near here</t>
  </si>
  <si>
    <t>Chekku-in mae ni todokimasu ka?</t>
  </si>
  <si>
    <t>この近く</t>
  </si>
  <si>
    <t>Kono chikaku</t>
  </si>
  <si>
    <t>Over there</t>
  </si>
  <si>
    <t>あそこ</t>
  </si>
  <si>
    <t>Asoko</t>
  </si>
  <si>
    <t>Sightseeing</t>
  </si>
  <si>
    <t>Can I take a photo?</t>
  </si>
  <si>
    <t>写真を撮ってもいいですか？</t>
  </si>
  <si>
    <t>Shashin o totte mo ii desu ka?</t>
  </si>
  <si>
    <t>Is next-day delivery possible?</t>
  </si>
  <si>
    <t>Can we take a photo?</t>
  </si>
  <si>
    <t>写真を撮ってもらえますか？</t>
  </si>
  <si>
    <t>翌日に届きますか？</t>
  </si>
  <si>
    <t>Shashin o totte moraemasu ka?</t>
  </si>
  <si>
    <t>Is photography allowed?</t>
  </si>
  <si>
    <t>写真撮影はできますか？</t>
  </si>
  <si>
    <t>Yokujitsu ni todokimasu ka?</t>
  </si>
  <si>
    <t>Shashin satsuei wa dekimasu ka?</t>
  </si>
  <si>
    <t>Can I enter?</t>
  </si>
  <si>
    <t>入ってもいいですか？</t>
  </si>
  <si>
    <t>Haitte mo ii desu ka?</t>
  </si>
  <si>
    <t>How much is admission?</t>
  </si>
  <si>
    <t>入場料はいくらですか？</t>
  </si>
  <si>
    <t>Nyuujouryou wa ikura desu ka?</t>
  </si>
  <si>
    <t>Where is the entrance?</t>
  </si>
  <si>
    <t>入口はどこですか？</t>
  </si>
  <si>
    <t>Iriguchi wa doko desu ka?</t>
  </si>
  <si>
    <t>Yes, that's correct.</t>
  </si>
  <si>
    <t>Where is the exit?</t>
  </si>
  <si>
    <t>出口はどこですか？</t>
  </si>
  <si>
    <t>はい、大丈夫です。</t>
  </si>
  <si>
    <t>Deguchi wa doko desu ka?</t>
  </si>
  <si>
    <t>Hai, daijōbu desu.</t>
  </si>
  <si>
    <t>What time does it open?</t>
  </si>
  <si>
    <t>何時に開きますか？</t>
  </si>
  <si>
    <t>Nanji ni akimasu ka?</t>
  </si>
  <si>
    <t>What time does it close?</t>
  </si>
  <si>
    <t>何時に閉まりますか？</t>
  </si>
  <si>
    <t>Nanji ni shimarimasu ka?</t>
  </si>
  <si>
    <t>Luggage</t>
  </si>
  <si>
    <t>Where can I store my luggage?</t>
  </si>
  <si>
    <t>I understand.</t>
  </si>
  <si>
    <t>荷物はどこに預けられますか？</t>
  </si>
  <si>
    <t>Nimotsu wa doko ni azukeraremasu ka?</t>
  </si>
  <si>
    <t>分かりました。</t>
  </si>
  <si>
    <t>ここに荷物を預けてもいいですか？</t>
  </si>
  <si>
    <t>Koko ni nimotsu o azukete mo ii desu ka?</t>
  </si>
  <si>
    <t>Wakarimashita.</t>
  </si>
  <si>
    <t>Where are the lockers?</t>
  </si>
  <si>
    <t>コインロッカーはどこですか？</t>
  </si>
  <si>
    <t>Koin rokkaa wa doko desu ka?</t>
  </si>
  <si>
    <t>Is there a large locker?</t>
  </si>
  <si>
    <t>大きいロッカーはありますか？</t>
  </si>
  <si>
    <t>Ookii rokkaa wa arimasu ka?</t>
  </si>
  <si>
    <t>My luggage is too big</t>
  </si>
  <si>
    <t>荷物が大きすぎます</t>
  </si>
  <si>
    <t>Nimotsu ga ookisugimasu</t>
  </si>
  <si>
    <t>Can I send my luggage to my hotel?</t>
  </si>
  <si>
    <t>ホテルに荷物を送れますか？</t>
  </si>
  <si>
    <t>Hoteru ni nimotsu o okuremasu ka?</t>
  </si>
  <si>
    <t>Can you help me send this?</t>
  </si>
  <si>
    <t>これを送るのを手伝ってもらえますか？</t>
  </si>
  <si>
    <t>Kore o okuru no o tetsudatte moraemasu ka?</t>
  </si>
  <si>
    <t>Fragile</t>
  </si>
  <si>
    <t>壊れやすいです</t>
  </si>
  <si>
    <t>Kowareyasui desu</t>
  </si>
  <si>
    <t>Thank you for your help.</t>
  </si>
  <si>
    <t>よろしくお願いします。</t>
  </si>
  <si>
    <t>Yoroshiku onegaishimasu.</t>
  </si>
  <si>
    <t>Can I pay in cash?</t>
  </si>
  <si>
    <t>現金で払えますか？</t>
  </si>
  <si>
    <t>Genkin de haraemasu ka?</t>
  </si>
  <si>
    <t>Can I use contactless payment?</t>
  </si>
  <si>
    <t>タッチ決済は使えますか？</t>
  </si>
  <si>
    <t>Tacchi kessai wa tsukaemasu ka?</t>
  </si>
  <si>
    <t>Do you accept Visa?</t>
  </si>
  <si>
    <t>Visaは使えますか？</t>
  </si>
  <si>
    <t>Visa wa tsukaemasu ka?</t>
  </si>
  <si>
    <t>Do you accept Mastercard?</t>
  </si>
  <si>
    <t>Mastercardは使えますか？</t>
  </si>
  <si>
    <t>Mastercard wa tsukaemasu ka?</t>
  </si>
  <si>
    <t>Can I have a receipt?</t>
  </si>
  <si>
    <t>Emergencies</t>
  </si>
  <si>
    <t>Help!</t>
  </si>
  <si>
    <t>助けてください！</t>
  </si>
  <si>
    <t>Tasukete kudasai!</t>
  </si>
  <si>
    <t>I need help</t>
  </si>
  <si>
    <t>助けが必要です</t>
  </si>
  <si>
    <t>Tasuke ga hitsuyou desu</t>
  </si>
  <si>
    <t>Please call an ambulance</t>
  </si>
  <si>
    <t>救急車を呼んでください</t>
  </si>
  <si>
    <t>Kyuukyuusha o yonde kudasai</t>
  </si>
  <si>
    <t>Please call the police</t>
  </si>
  <si>
    <t>警察を呼んでください</t>
  </si>
  <si>
    <t>Keisatsu o yonde kudasai</t>
  </si>
  <si>
    <t>I lost my wallet</t>
  </si>
  <si>
    <t>財布をなくしました</t>
  </si>
  <si>
    <t>Saifu o nakushimashita</t>
  </si>
  <si>
    <t>I lost my passport</t>
  </si>
  <si>
    <t>パスポートをなくしました</t>
  </si>
  <si>
    <t>Pasuupoot o nakushimashita</t>
  </si>
  <si>
    <t>I lost my phone</t>
  </si>
  <si>
    <t>携帯電話をなくしました</t>
  </si>
  <si>
    <t>Keitai denwa o nakushimashita</t>
  </si>
  <si>
    <t>Where is the police station?</t>
  </si>
  <si>
    <t>警察署はどこですか？</t>
  </si>
  <si>
    <t>Keisatsusho wa doko desu ka?</t>
  </si>
  <si>
    <t>Where is the hospital?</t>
  </si>
  <si>
    <t>病院はどこですか？</t>
  </si>
  <si>
    <t>Byouin wa doko desu ka?</t>
  </si>
  <si>
    <t>Useful Words</t>
  </si>
  <si>
    <t>Entrance</t>
  </si>
  <si>
    <t>入口</t>
  </si>
  <si>
    <t>Iriguchi</t>
  </si>
  <si>
    <t>Exit</t>
  </si>
  <si>
    <t>出口</t>
  </si>
  <si>
    <t>Deguchi</t>
  </si>
  <si>
    <t>Toilet / Restroom</t>
  </si>
  <si>
    <t>トイレ</t>
  </si>
  <si>
    <t>Toire</t>
  </si>
  <si>
    <t>Station</t>
  </si>
  <si>
    <t>駅</t>
  </si>
  <si>
    <t>Eki</t>
  </si>
  <si>
    <t>Bus stop</t>
  </si>
  <si>
    <t>バス停</t>
  </si>
  <si>
    <t>Basu-tei</t>
  </si>
  <si>
    <t>Ticket gate</t>
  </si>
  <si>
    <t>改札</t>
  </si>
  <si>
    <t>Kaisatsu</t>
  </si>
  <si>
    <t>Platform</t>
  </si>
  <si>
    <t>ホーム</t>
  </si>
  <si>
    <t>Hoomu</t>
  </si>
  <si>
    <t>Ticket</t>
  </si>
  <si>
    <t>切符</t>
  </si>
  <si>
    <t>Kippu</t>
  </si>
  <si>
    <t>Train</t>
  </si>
  <si>
    <t>電車</t>
  </si>
  <si>
    <t>Densha</t>
  </si>
  <si>
    <t>バス</t>
  </si>
  <si>
    <t>Basu</t>
  </si>
  <si>
    <t>タクシー</t>
  </si>
  <si>
    <t>Takushii</t>
  </si>
  <si>
    <t>ホテル</t>
  </si>
  <si>
    <t>Hoteru</t>
  </si>
  <si>
    <t>レストラン</t>
  </si>
  <si>
    <t>Resutoran</t>
  </si>
  <si>
    <t>Shop / Store</t>
  </si>
  <si>
    <t>お店</t>
  </si>
  <si>
    <t>Omise</t>
  </si>
  <si>
    <t>Straight</t>
  </si>
  <si>
    <t>Today</t>
  </si>
  <si>
    <t>今日</t>
  </si>
  <si>
    <t>Kyou</t>
  </si>
  <si>
    <t>Tomorrow</t>
  </si>
  <si>
    <t>明日</t>
  </si>
  <si>
    <t>Ashita</t>
  </si>
  <si>
    <t>Yesterday</t>
  </si>
  <si>
    <t>昨日</t>
  </si>
  <si>
    <t>Kinou</t>
  </si>
  <si>
    <t>Now</t>
  </si>
  <si>
    <t>今</t>
  </si>
  <si>
    <t>Ima</t>
  </si>
  <si>
    <t>Today / This day</t>
  </si>
  <si>
    <t>今日の日</t>
  </si>
  <si>
    <t>Kyou no hi</t>
  </si>
  <si>
    <t>How much</t>
  </si>
  <si>
    <t>いくら</t>
  </si>
  <si>
    <t>Ikura</t>
  </si>
  <si>
    <t>Where</t>
  </si>
  <si>
    <t>どこ</t>
  </si>
  <si>
    <t>Doko</t>
  </si>
  <si>
    <t>What</t>
  </si>
  <si>
    <t>何</t>
  </si>
  <si>
    <t>Nani</t>
  </si>
  <si>
    <t>Which</t>
  </si>
  <si>
    <t>どちら</t>
  </si>
  <si>
    <t>Dochira</t>
  </si>
  <si>
    <t>When</t>
  </si>
  <si>
    <t>いつ</t>
  </si>
  <si>
    <t>Itsu</t>
  </si>
  <si>
    <t>Why</t>
  </si>
  <si>
    <t>なぜ</t>
  </si>
  <si>
    <t>Naze</t>
  </si>
  <si>
    <t>How</t>
  </si>
  <si>
    <t>どう</t>
  </si>
  <si>
    <t>Dou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</si>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</sst>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&quot;-&quot;mmm"/>
    <numFmt numFmtId="165" formatCode="d\ mmmm"/>
    <numFmt numFmtId="166" formatCode="0.0"/>
    <numFmt numFmtId="167" formatCode="0.0%"/>
    <numFmt numFmtId="168" formatCode="mm\-dd\-yy"/>
    <numFmt numFmtId="169" formatCode="d\ mmmm\ yyyy"/>
  </numFmts>
  <fonts count="19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Roboto"/>
    </font>
    <font>
      <b/>
      <sz val="11"/>
      <color rgb="FF171C1F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b/>
      <sz val="10"/>
      <color rgb="FF171C1F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rgb="FF171C1F"/>
      <name val="Roboto"/>
    </font>
    <font>
      <b/>
      <sz val="10"/>
      <color rgb="FF2B628A"/>
      <name val="Roboto"/>
    </font>
    <font>
      <sz val="10"/>
      <color rgb="FF252C38"/>
      <name val="BlinkMacSystemFont"/>
    </font>
    <font>
      <sz val="10"/>
      <color rgb="FF000000"/>
      <name val="&quot;Google Sans&quot;"/>
    </font>
    <font>
      <u/>
      <sz val="10"/>
      <color rgb="FF0097A7"/>
      <name val="Arial"/>
    </font>
    <font>
      <u/>
      <sz val="10"/>
      <color rgb="FF0000FF"/>
      <name val="Arial"/>
    </font>
    <font>
      <sz val="10"/>
      <color theme="1"/>
      <name val="Arial"/>
    </font>
    <font>
      <b/>
      <i/>
      <u/>
      <sz val="10"/>
      <color rgb="FFFFFFFF"/>
      <name val="Arial"/>
      <scheme val="minor"/>
    </font>
    <font>
      <b/>
      <sz val="10"/>
      <color rgb="FFFFFFFF"/>
      <name val="Roboto"/>
    </font>
  </fonts>
  <fills count="16">
    <fill>
      <patternFill patternType="none"/>
    </fill>
    <fill>
      <patternFill patternType="gray125"/>
    </fill>
    <fill>
      <patternFill patternType="solid">
        <fgColor rgb="FF2B628A"/>
        <bgColor rgb="FF2B628A"/>
      </patternFill>
    </fill>
    <fill>
      <patternFill patternType="solid">
        <fgColor rgb="FF000000"/>
        <bgColor rgb="FF000000"/>
      </patternFill>
    </fill>
    <fill>
      <patternFill patternType="solid">
        <fgColor rgb="FFEFF4F8"/>
        <bgColor rgb="FFEFF4F8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D3E3F6"/>
        <bgColor rgb="FFD3E3F6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CF2FA"/>
        <bgColor rgb="FFECF2FA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/>
      <right style="thin">
        <color rgb="FF000000"/>
      </right>
      <top/>
      <bottom/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164" fontId="2" fillId="5" borderId="0" xfId="0" applyNumberFormat="1" applyFont="1" applyFill="1" applyAlignment="1">
      <alignment horizontal="center"/>
    </xf>
    <xf numFmtId="0" fontId="2" fillId="3" borderId="0" xfId="0" applyFont="1" applyFill="1" applyAlignment="1">
      <alignment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/>
    <xf numFmtId="3" fontId="2" fillId="3" borderId="0" xfId="0" applyNumberFormat="1" applyFont="1" applyFill="1" applyAlignment="1">
      <alignment horizontal="center" wrapText="1"/>
    </xf>
    <xf numFmtId="0" fontId="3" fillId="0" borderId="0" xfId="0" applyFont="1" applyAlignment="1">
      <alignment vertical="top" wrapText="1"/>
    </xf>
    <xf numFmtId="165" fontId="6" fillId="0" borderId="0" xfId="0" applyNumberFormat="1" applyFont="1"/>
    <xf numFmtId="0" fontId="6" fillId="6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3" fontId="6" fillId="0" borderId="0" xfId="0" applyNumberFormat="1" applyFont="1"/>
    <xf numFmtId="0" fontId="7" fillId="7" borderId="0" xfId="0" applyFont="1" applyFill="1" applyAlignment="1">
      <alignment horizontal="left" vertical="top" wrapText="1"/>
    </xf>
    <xf numFmtId="0" fontId="6" fillId="0" borderId="0" xfId="0" applyFont="1" applyAlignment="1">
      <alignment wrapText="1"/>
    </xf>
    <xf numFmtId="165" fontId="5" fillId="0" borderId="0" xfId="0" applyNumberFormat="1" applyFont="1" applyAlignment="1">
      <alignment horizontal="center" vertical="center" wrapText="1"/>
    </xf>
    <xf numFmtId="49" fontId="5" fillId="0" borderId="0" xfId="0" quotePrefix="1" applyNumberFormat="1" applyFont="1" applyAlignment="1">
      <alignment horizontal="center" vertical="center" wrapText="1"/>
    </xf>
    <xf numFmtId="0" fontId="6" fillId="6" borderId="0" xfId="0" applyFont="1" applyFill="1"/>
    <xf numFmtId="49" fontId="5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8" borderId="0" xfId="0" applyFont="1" applyFill="1"/>
    <xf numFmtId="3" fontId="6" fillId="0" borderId="1" xfId="0" applyNumberFormat="1" applyFont="1" applyBorder="1" applyAlignment="1">
      <alignment horizontal="center" wrapText="1"/>
    </xf>
    <xf numFmtId="0" fontId="6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10" borderId="0" xfId="0" applyFont="1" applyFill="1"/>
    <xf numFmtId="0" fontId="6" fillId="11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left" vertical="top" wrapText="1"/>
    </xf>
    <xf numFmtId="0" fontId="10" fillId="7" borderId="12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10" fillId="7" borderId="14" xfId="0" applyFont="1" applyFill="1" applyBorder="1" applyAlignment="1">
      <alignment horizontal="left" vertical="top" wrapText="1"/>
    </xf>
    <xf numFmtId="166" fontId="5" fillId="0" borderId="0" xfId="0" applyNumberFormat="1" applyFont="1" applyAlignment="1">
      <alignment horizontal="center" vertical="center" wrapText="1"/>
    </xf>
    <xf numFmtId="0" fontId="11" fillId="12" borderId="17" xfId="0" applyFont="1" applyFill="1" applyBorder="1" applyAlignment="1">
      <alignment horizontal="left" vertical="top" wrapText="1"/>
    </xf>
    <xf numFmtId="0" fontId="11" fillId="12" borderId="20" xfId="0" applyFont="1" applyFill="1" applyBorder="1" applyAlignment="1">
      <alignment horizontal="left" vertical="top" wrapText="1"/>
    </xf>
    <xf numFmtId="0" fontId="11" fillId="12" borderId="21" xfId="0" applyFont="1" applyFill="1" applyBorder="1" applyAlignment="1">
      <alignment horizontal="left" vertical="top" wrapText="1"/>
    </xf>
    <xf numFmtId="4" fontId="6" fillId="0" borderId="0" xfId="0" applyNumberFormat="1" applyFont="1"/>
    <xf numFmtId="0" fontId="3" fillId="0" borderId="17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167" fontId="6" fillId="0" borderId="0" xfId="0" applyNumberFormat="1" applyFont="1"/>
    <xf numFmtId="0" fontId="3" fillId="0" borderId="21" xfId="0" applyFont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10" borderId="1" xfId="0" applyFont="1" applyFill="1" applyBorder="1" applyAlignment="1">
      <alignment horizontal="center"/>
    </xf>
    <xf numFmtId="2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wrapText="1"/>
    </xf>
    <xf numFmtId="0" fontId="12" fillId="13" borderId="0" xfId="0" applyFont="1" applyFill="1" applyAlignment="1">
      <alignment horizontal="center" vertical="center" wrapText="1"/>
    </xf>
    <xf numFmtId="20" fontId="6" fillId="0" borderId="1" xfId="0" applyNumberFormat="1" applyFont="1" applyBorder="1" applyAlignment="1">
      <alignment horizontal="center"/>
    </xf>
    <xf numFmtId="0" fontId="3" fillId="0" borderId="22" xfId="0" applyFont="1" applyBorder="1" applyAlignment="1">
      <alignment vertical="top" wrapText="1"/>
    </xf>
    <xf numFmtId="0" fontId="13" fillId="13" borderId="0" xfId="0" applyFont="1" applyFill="1" applyAlignment="1">
      <alignment horizontal="left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0" xfId="0" applyFont="1" applyAlignment="1">
      <alignment vertical="top"/>
    </xf>
    <xf numFmtId="3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" fontId="9" fillId="0" borderId="8" xfId="0" applyNumberFormat="1" applyFont="1" applyBorder="1" applyAlignment="1">
      <alignment horizontal="center" wrapText="1"/>
    </xf>
    <xf numFmtId="0" fontId="2" fillId="3" borderId="11" xfId="0" applyFont="1" applyFill="1" applyBorder="1" applyAlignment="1">
      <alignment wrapText="1"/>
    </xf>
    <xf numFmtId="0" fontId="2" fillId="3" borderId="0" xfId="0" applyFont="1" applyFill="1" applyAlignment="1">
      <alignment horizontal="right" wrapText="1"/>
    </xf>
    <xf numFmtId="3" fontId="6" fillId="0" borderId="13" xfId="0" applyNumberFormat="1" applyFont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horizontal="right" wrapText="1"/>
    </xf>
    <xf numFmtId="3" fontId="6" fillId="0" borderId="19" xfId="0" applyNumberFormat="1" applyFont="1" applyBorder="1" applyAlignment="1">
      <alignment horizontal="center" wrapText="1"/>
    </xf>
    <xf numFmtId="3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7" fillId="7" borderId="17" xfId="0" applyFont="1" applyFill="1" applyBorder="1" applyAlignment="1">
      <alignment horizontal="left" vertical="top" wrapText="1"/>
    </xf>
    <xf numFmtId="0" fontId="7" fillId="7" borderId="20" xfId="0" applyFont="1" applyFill="1" applyBorder="1" applyAlignment="1">
      <alignment horizontal="left" vertical="top" wrapText="1"/>
    </xf>
    <xf numFmtId="0" fontId="7" fillId="7" borderId="21" xfId="0" applyFont="1" applyFill="1" applyBorder="1" applyAlignment="1">
      <alignment horizontal="left" vertical="top" wrapText="1"/>
    </xf>
    <xf numFmtId="20" fontId="3" fillId="0" borderId="0" xfId="0" applyNumberFormat="1" applyFont="1" applyAlignment="1">
      <alignment vertical="top" wrapText="1"/>
    </xf>
    <xf numFmtId="0" fontId="18" fillId="2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0" xfId="0" quotePrefix="1" applyFont="1" applyAlignment="1">
      <alignment vertical="top" wrapText="1"/>
    </xf>
    <xf numFmtId="168" fontId="4" fillId="4" borderId="0" xfId="0" applyNumberFormat="1" applyFont="1" applyFill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169" fontId="9" fillId="0" borderId="9" xfId="0" applyNumberFormat="1" applyFont="1" applyBorder="1" applyAlignment="1">
      <alignment horizontal="center" vertical="center" wrapText="1"/>
    </xf>
    <xf numFmtId="0" fontId="6" fillId="0" borderId="0" xfId="0" quotePrefix="1" applyFont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14" borderId="0" xfId="0" applyFont="1" applyFill="1" applyAlignment="1">
      <alignment wrapText="1"/>
    </xf>
    <xf numFmtId="0" fontId="6" fillId="14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" fillId="15" borderId="0" xfId="0" applyFont="1" applyFill="1" applyAlignment="1">
      <alignment vertical="center" wrapText="1"/>
    </xf>
    <xf numFmtId="0" fontId="6" fillId="8" borderId="2" xfId="0" applyFont="1" applyFill="1" applyBorder="1" applyAlignment="1">
      <alignment horizontal="center"/>
    </xf>
    <xf numFmtId="0" fontId="8" fillId="0" borderId="4" xfId="0" applyFont="1" applyBorder="1"/>
    <xf numFmtId="0" fontId="8" fillId="0" borderId="3" xfId="0" applyFont="1" applyBorder="1"/>
    <xf numFmtId="0" fontId="6" fillId="0" borderId="5" xfId="0" applyFont="1" applyBorder="1" applyAlignment="1">
      <alignment horizontal="center"/>
    </xf>
    <xf numFmtId="0" fontId="8" fillId="0" borderId="18" xfId="0" applyFont="1" applyBorder="1"/>
    <xf numFmtId="0" fontId="8" fillId="0" borderId="9" xfId="0" applyFont="1" applyBorder="1"/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11" xfId="0" applyFont="1" applyBorder="1"/>
    <xf numFmtId="0" fontId="0" fillId="0" borderId="0" xfId="0"/>
    <xf numFmtId="0" fontId="8" fillId="0" borderId="13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9" xfId="0" applyFont="1" applyBorder="1"/>
    <xf numFmtId="0" fontId="6" fillId="0" borderId="3" xfId="0" applyFont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5" xfId="0" applyFont="1" applyBorder="1" applyAlignment="1">
      <alignment horizontal="center" vertical="top" wrapText="1"/>
    </xf>
    <xf numFmtId="0" fontId="6" fillId="0" borderId="5" xfId="0" applyFont="1" applyBorder="1"/>
    <xf numFmtId="0" fontId="9" fillId="0" borderId="0" xfId="0" applyFont="1" applyAlignment="1">
      <alignment wrapText="1"/>
    </xf>
    <xf numFmtId="0" fontId="6" fillId="0" borderId="5" xfId="0" applyFont="1" applyBorder="1" applyAlignment="1">
      <alignment vertical="center" wrapText="1"/>
    </xf>
    <xf numFmtId="0" fontId="14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2" fillId="3" borderId="6" xfId="0" applyFont="1" applyFill="1" applyBorder="1" applyAlignment="1">
      <alignment horizontal="right" wrapText="1"/>
    </xf>
    <xf numFmtId="0" fontId="17" fillId="5" borderId="11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right" wrapText="1"/>
    </xf>
    <xf numFmtId="0" fontId="9" fillId="0" borderId="5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8" fillId="0" borderId="9" xfId="0" applyFont="1" applyBorder="1" applyAlignment="1"/>
    <xf numFmtId="0" fontId="9" fillId="0" borderId="18" xfId="0" applyFont="1" applyBorder="1" applyAlignment="1">
      <alignment horizontal="center" vertical="top"/>
    </xf>
    <xf numFmtId="0" fontId="9" fillId="0" borderId="4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25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</cellXfs>
  <cellStyles count="1">
    <cellStyle name="Normal" xfId="0" builtinId="0"/>
  </cellStyles>
  <dxfs count="13">
    <dxf>
      <font>
        <color rgb="FFFFFFFF"/>
      </font>
      <fill>
        <patternFill patternType="solid">
          <fgColor rgb="FF980000"/>
          <bgColor rgb="FF98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Luggage Forwarding-style" pivot="0" count="2" xr9:uid="{00000000-0011-0000-FFFF-FFFF00000000}">
      <tableStyleElement type="firstRowStripe" dxfId="12"/>
      <tableStyleElement type="secondRowStripe" dxfId="11"/>
    </tableStyle>
    <tableStyle name="Luggage Forwarding-style 2" pivot="0" count="2" xr9:uid="{00000000-0011-0000-FFFF-FFFF01000000}">
      <tableStyleElement type="firstRowStripe" dxfId="10"/>
      <tableStyleElement type="secondRowStripe" dxfId="9"/>
    </tableStyle>
    <tableStyle name="Luggage Forwarding-style 3" pivot="0" count="4" xr9:uid="{00000000-0011-0000-FFFF-FFFF02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Luggage Forwarding-style 4" pivot="0" count="4" xr9:uid="{00000000-0011-0000-FFFF-FFFF03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F5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Luggage Forward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7:F11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Luggage Forwardin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uggage_Forwarding_Useful_terms" displayName="Luggage_Forwarding_Useful_terms" ref="A14:C30">
  <tableColumns count="3">
    <tableColumn id="1" xr3:uid="{00000000-0010-0000-0200-000001000000}" name="Meaning"/>
    <tableColumn id="2" xr3:uid="{00000000-0010-0000-0200-000002000000}" name="Japanese"/>
    <tableColumn id="3" xr3:uid="{00000000-0010-0000-0200-000003000000}" name="Romanization"/>
  </tableColumns>
  <tableStyleInfo name="Luggage Forwarding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uggage_Forwarding_Form_Filling_terms" displayName="Luggage_Forwarding_Form_Filling_terms" ref="E14:G19">
  <tableColumns count="3">
    <tableColumn id="1" xr3:uid="{00000000-0010-0000-0300-000001000000}" name="Field"/>
    <tableColumn id="2" xr3:uid="{00000000-0010-0000-0300-000002000000}" name="Japanese"/>
    <tableColumn id="3" xr3:uid="{00000000-0010-0000-0300-000003000000}" name="Example"/>
  </tableColumns>
  <tableStyleInfo name="Luggage Forwarding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YGTbN7N71bRmoomYhdjADGHxkEcieE2/view?usp=drive_link" TargetMode="External"/><Relationship Id="rId2" Type="http://schemas.openxmlformats.org/officeDocument/2006/relationships/hyperlink" Target="https://www.nouhibus.co.jp/route_bus/kamikochi-line-en/" TargetMode="External"/><Relationship Id="rId1" Type="http://schemas.openxmlformats.org/officeDocument/2006/relationships/hyperlink" Target="https://world.jorudan.co.jp/mln/en/?c=30&amp;p=0&amp;ft=0&amp;date=10%2f20%2f2026&amp;time=17%3a16&amp;from=Nagiso&amp;este=Nagiso&amp;r=Chuo+Line(JR+Central)&amp;t=Shiojiri&amp;sub_lang=ja" TargetMode="External"/><Relationship Id="rId6" Type="http://schemas.openxmlformats.org/officeDocument/2006/relationships/hyperlink" Target="https://www.nouhibus.co.jp/route_bus/shirakawago_en/" TargetMode="External"/><Relationship Id="rId5" Type="http://schemas.openxmlformats.org/officeDocument/2006/relationships/hyperlink" Target="https://www.nouhibus.co.jp/route_bus/shirakawago_en/" TargetMode="External"/><Relationship Id="rId4" Type="http://schemas.openxmlformats.org/officeDocument/2006/relationships/hyperlink" Target="https://drive.google.com/file/d/1dkWVZXxPkEpb1kXaAqHcB4dqi9Da1G3u/view?usp=drive_link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2"/>
  <sheetViews>
    <sheetView topLeftCell="A60" workbookViewId="0">
      <selection activeCell="A80" sqref="A80"/>
    </sheetView>
  </sheetViews>
  <sheetFormatPr defaultColWidth="12.6640625" defaultRowHeight="15.75" customHeight="1"/>
  <sheetData>
    <row r="1" spans="1:20" ht="13.2" hidden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20" ht="13.2" hidden="1">
      <c r="A2" s="7">
        <v>46313</v>
      </c>
      <c r="B2" s="7">
        <v>46314</v>
      </c>
      <c r="C2" s="7">
        <v>46315</v>
      </c>
      <c r="D2" s="7">
        <v>46316</v>
      </c>
      <c r="E2" s="7">
        <v>46317</v>
      </c>
      <c r="F2" s="7">
        <v>46318</v>
      </c>
      <c r="G2" s="7">
        <v>46319</v>
      </c>
      <c r="H2" s="7">
        <v>46320</v>
      </c>
      <c r="I2" s="7">
        <v>46321</v>
      </c>
      <c r="J2" s="7">
        <v>46322</v>
      </c>
      <c r="K2" s="7">
        <v>46323</v>
      </c>
      <c r="L2" s="7">
        <v>46324</v>
      </c>
      <c r="M2" s="7">
        <v>46325</v>
      </c>
      <c r="N2" s="7">
        <v>46326</v>
      </c>
      <c r="O2" s="7">
        <v>46327</v>
      </c>
      <c r="P2" s="7">
        <v>46328</v>
      </c>
      <c r="Q2" s="7">
        <v>46329</v>
      </c>
    </row>
    <row r="3" spans="1:20" ht="13.2" hidden="1">
      <c r="A3" s="14" t="s">
        <v>33</v>
      </c>
      <c r="B3" s="113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8"/>
      <c r="S3" s="21"/>
      <c r="T3" s="10" t="s">
        <v>56</v>
      </c>
    </row>
    <row r="4" spans="1:20" ht="13.2" hidden="1">
      <c r="A4" s="107" t="s">
        <v>62</v>
      </c>
      <c r="B4" s="108"/>
      <c r="C4" s="113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8"/>
      <c r="S4" s="25"/>
      <c r="T4" s="10" t="s">
        <v>98</v>
      </c>
    </row>
    <row r="5" spans="1:20" ht="13.2" hidden="1">
      <c r="A5" s="27"/>
      <c r="B5" s="107" t="s">
        <v>108</v>
      </c>
      <c r="C5" s="108"/>
      <c r="D5" s="114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6"/>
      <c r="S5" s="30"/>
      <c r="T5" s="10" t="s">
        <v>139</v>
      </c>
    </row>
    <row r="6" spans="1:20" ht="13.2" hidden="1">
      <c r="A6" s="125"/>
      <c r="B6" s="116"/>
      <c r="C6" s="31" t="s">
        <v>149</v>
      </c>
      <c r="D6" s="117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/>
      <c r="S6" s="34" t="s">
        <v>177</v>
      </c>
      <c r="T6" s="10" t="s">
        <v>182</v>
      </c>
    </row>
    <row r="7" spans="1:20" ht="13.2" hidden="1">
      <c r="A7" s="117"/>
      <c r="B7" s="119"/>
      <c r="C7" s="31" t="s">
        <v>187</v>
      </c>
      <c r="D7" s="120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  <c r="S7" s="34" t="s">
        <v>190</v>
      </c>
      <c r="T7" s="10" t="s">
        <v>191</v>
      </c>
    </row>
    <row r="8" spans="1:20" ht="13.2" hidden="1">
      <c r="A8" s="120"/>
      <c r="B8" s="122"/>
      <c r="C8" s="107" t="s">
        <v>192</v>
      </c>
      <c r="D8" s="109"/>
      <c r="E8" s="109"/>
      <c r="F8" s="108"/>
      <c r="G8" s="113"/>
      <c r="H8" s="109"/>
      <c r="I8" s="109"/>
      <c r="J8" s="109"/>
      <c r="K8" s="109"/>
      <c r="L8" s="109"/>
      <c r="M8" s="109"/>
      <c r="N8" s="109"/>
      <c r="O8" s="109"/>
      <c r="P8" s="109"/>
      <c r="Q8" s="108"/>
    </row>
    <row r="9" spans="1:20" ht="13.2" hidden="1">
      <c r="A9" s="124"/>
      <c r="B9" s="109"/>
      <c r="C9" s="108"/>
      <c r="D9" s="46" t="s">
        <v>205</v>
      </c>
      <c r="E9" s="28"/>
      <c r="F9" s="107" t="s">
        <v>210</v>
      </c>
      <c r="G9" s="108"/>
      <c r="H9" s="113"/>
      <c r="I9" s="109"/>
      <c r="J9" s="109"/>
      <c r="K9" s="109"/>
      <c r="L9" s="109"/>
      <c r="M9" s="109"/>
      <c r="N9" s="109"/>
      <c r="O9" s="109"/>
      <c r="P9" s="109"/>
      <c r="Q9" s="108"/>
    </row>
    <row r="10" spans="1:20" ht="13.2" hidden="1">
      <c r="A10" s="27"/>
      <c r="B10" s="27"/>
      <c r="C10" s="27"/>
      <c r="D10" s="46"/>
      <c r="E10" s="28"/>
      <c r="F10" s="46" t="s">
        <v>226</v>
      </c>
      <c r="G10" s="123"/>
      <c r="H10" s="109"/>
      <c r="I10" s="109"/>
      <c r="J10" s="109"/>
      <c r="K10" s="109"/>
      <c r="L10" s="109"/>
      <c r="M10" s="109"/>
      <c r="N10" s="109"/>
      <c r="O10" s="109"/>
      <c r="P10" s="109"/>
      <c r="Q10" s="108"/>
    </row>
    <row r="11" spans="1:20" ht="13.2" hidden="1">
      <c r="A11" s="124"/>
      <c r="B11" s="109"/>
      <c r="C11" s="109"/>
      <c r="D11" s="109"/>
      <c r="E11" s="109"/>
      <c r="F11" s="108"/>
      <c r="G11" s="107" t="s">
        <v>122</v>
      </c>
      <c r="H11" s="108"/>
      <c r="I11" s="114"/>
      <c r="J11" s="115"/>
      <c r="K11" s="115"/>
      <c r="L11" s="115"/>
      <c r="M11" s="115"/>
      <c r="N11" s="115"/>
      <c r="O11" s="115"/>
      <c r="P11" s="115"/>
      <c r="Q11" s="116"/>
    </row>
    <row r="12" spans="1:20" ht="13.2" hidden="1">
      <c r="A12" s="125"/>
      <c r="B12" s="115"/>
      <c r="C12" s="115"/>
      <c r="D12" s="115"/>
      <c r="E12" s="115"/>
      <c r="F12" s="115"/>
      <c r="G12" s="116"/>
      <c r="H12" s="46" t="s">
        <v>246</v>
      </c>
      <c r="I12" s="120"/>
      <c r="J12" s="121"/>
      <c r="K12" s="121"/>
      <c r="L12" s="121"/>
      <c r="M12" s="121"/>
      <c r="N12" s="121"/>
      <c r="O12" s="121"/>
      <c r="P12" s="121"/>
      <c r="Q12" s="122"/>
    </row>
    <row r="13" spans="1:20" ht="13.2" hidden="1">
      <c r="A13" s="120"/>
      <c r="B13" s="121"/>
      <c r="C13" s="121"/>
      <c r="D13" s="121"/>
      <c r="E13" s="121"/>
      <c r="F13" s="121"/>
      <c r="G13" s="122"/>
      <c r="H13" s="107" t="s">
        <v>249</v>
      </c>
      <c r="I13" s="109"/>
      <c r="J13" s="108"/>
      <c r="K13" s="113"/>
      <c r="L13" s="109"/>
      <c r="M13" s="109"/>
      <c r="N13" s="109"/>
      <c r="O13" s="109"/>
      <c r="P13" s="109"/>
      <c r="Q13" s="108"/>
    </row>
    <row r="14" spans="1:20" ht="13.2" hidden="1">
      <c r="A14" s="125"/>
      <c r="B14" s="115"/>
      <c r="C14" s="115"/>
      <c r="D14" s="115"/>
      <c r="E14" s="115"/>
      <c r="F14" s="115"/>
      <c r="G14" s="115"/>
      <c r="H14" s="115"/>
      <c r="I14" s="116"/>
      <c r="J14" s="107" t="s">
        <v>254</v>
      </c>
      <c r="K14" s="109"/>
      <c r="L14" s="108"/>
      <c r="M14" s="113"/>
      <c r="N14" s="109"/>
      <c r="O14" s="109"/>
      <c r="P14" s="109"/>
      <c r="Q14" s="108"/>
    </row>
    <row r="15" spans="1:20" ht="13.2" hidden="1">
      <c r="A15" s="120"/>
      <c r="B15" s="121"/>
      <c r="C15" s="121"/>
      <c r="D15" s="121"/>
      <c r="E15" s="121"/>
      <c r="F15" s="121"/>
      <c r="G15" s="121"/>
      <c r="H15" s="121"/>
      <c r="I15" s="122"/>
      <c r="J15" s="46" t="s">
        <v>260</v>
      </c>
      <c r="K15" s="113"/>
      <c r="L15" s="109"/>
      <c r="M15" s="109"/>
      <c r="N15" s="109"/>
      <c r="O15" s="109"/>
      <c r="P15" s="109"/>
      <c r="Q15" s="108"/>
    </row>
    <row r="16" spans="1:20" ht="13.2" hidden="1">
      <c r="A16" s="124"/>
      <c r="B16" s="109"/>
      <c r="C16" s="109"/>
      <c r="D16" s="109"/>
      <c r="E16" s="109"/>
      <c r="F16" s="109"/>
      <c r="G16" s="109"/>
      <c r="H16" s="109"/>
      <c r="I16" s="109"/>
      <c r="J16" s="109"/>
      <c r="K16" s="108"/>
      <c r="L16" s="107" t="s">
        <v>262</v>
      </c>
      <c r="M16" s="109"/>
      <c r="N16" s="109"/>
      <c r="O16" s="109"/>
      <c r="P16" s="108"/>
      <c r="Q16" s="28"/>
    </row>
    <row r="17" spans="1:17" ht="13.2" hidden="1">
      <c r="A17" s="124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8"/>
      <c r="M17" s="46" t="s">
        <v>266</v>
      </c>
      <c r="N17" s="113"/>
      <c r="O17" s="109"/>
      <c r="P17" s="109"/>
      <c r="Q17" s="108"/>
    </row>
    <row r="18" spans="1:17" ht="13.2" hidden="1">
      <c r="A18" s="124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8"/>
      <c r="P18" s="107" t="s">
        <v>62</v>
      </c>
      <c r="Q18" s="108"/>
    </row>
    <row r="19" spans="1:17" ht="13.2" hidden="1">
      <c r="A19" s="124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8"/>
      <c r="Q19" s="14" t="s">
        <v>33</v>
      </c>
    </row>
    <row r="20" spans="1:17" ht="13.2" hidden="1"/>
    <row r="21" spans="1:17" ht="13.2" hidden="1"/>
    <row r="22" spans="1:17" ht="13.2" hidden="1">
      <c r="A22" s="2" t="s">
        <v>1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16</v>
      </c>
      <c r="M22" s="2" t="s">
        <v>17</v>
      </c>
      <c r="N22" s="2" t="s">
        <v>18</v>
      </c>
      <c r="O22" s="2" t="s">
        <v>19</v>
      </c>
      <c r="P22" s="2" t="s">
        <v>20</v>
      </c>
      <c r="Q22" s="2" t="s">
        <v>21</v>
      </c>
    </row>
    <row r="23" spans="1:17" ht="13.2" hidden="1">
      <c r="A23" s="7">
        <v>46313</v>
      </c>
      <c r="B23" s="7">
        <v>46314</v>
      </c>
      <c r="C23" s="7">
        <v>46315</v>
      </c>
      <c r="D23" s="7">
        <v>46316</v>
      </c>
      <c r="E23" s="7">
        <v>46317</v>
      </c>
      <c r="F23" s="7">
        <v>46318</v>
      </c>
      <c r="G23" s="7">
        <v>46319</v>
      </c>
      <c r="H23" s="7">
        <v>46320</v>
      </c>
      <c r="I23" s="7">
        <v>46321</v>
      </c>
      <c r="J23" s="7">
        <v>46322</v>
      </c>
      <c r="K23" s="7">
        <v>46323</v>
      </c>
      <c r="L23" s="7">
        <v>46324</v>
      </c>
      <c r="M23" s="7">
        <v>46325</v>
      </c>
      <c r="N23" s="7">
        <v>46326</v>
      </c>
      <c r="O23" s="7">
        <v>46327</v>
      </c>
      <c r="P23" s="7">
        <v>46328</v>
      </c>
      <c r="Q23" s="7">
        <v>46329</v>
      </c>
    </row>
    <row r="24" spans="1:17" ht="13.2" hidden="1">
      <c r="A24" s="14" t="s">
        <v>33</v>
      </c>
      <c r="B24" s="28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</row>
    <row r="25" spans="1:17" ht="13.2" hidden="1">
      <c r="A25" s="107" t="s">
        <v>62</v>
      </c>
      <c r="B25" s="108"/>
      <c r="C25" s="111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</row>
    <row r="26" spans="1:17" ht="13.2" hidden="1">
      <c r="A26" s="126"/>
      <c r="B26" s="107" t="s">
        <v>108</v>
      </c>
      <c r="C26" s="108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</row>
    <row r="27" spans="1:17" ht="13.2" hidden="1">
      <c r="A27" s="112"/>
      <c r="B27" s="126"/>
      <c r="C27" s="31" t="s">
        <v>149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</row>
    <row r="28" spans="1:17" ht="13.2" hidden="1">
      <c r="A28" s="112"/>
      <c r="B28" s="112"/>
      <c r="C28" s="31" t="s">
        <v>187</v>
      </c>
      <c r="D28" s="111"/>
      <c r="E28" s="111"/>
      <c r="F28" s="111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</row>
    <row r="29" spans="1:17" ht="13.2" hidden="1">
      <c r="A29" s="112"/>
      <c r="B29" s="112"/>
      <c r="C29" s="107" t="s">
        <v>192</v>
      </c>
      <c r="D29" s="109"/>
      <c r="E29" s="109"/>
      <c r="F29" s="108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</row>
    <row r="30" spans="1:17" ht="13.2" hidden="1">
      <c r="A30" s="112"/>
      <c r="B30" s="112"/>
      <c r="C30" s="126"/>
      <c r="D30" s="31" t="s">
        <v>205</v>
      </c>
      <c r="E30" s="126"/>
      <c r="F30" s="31" t="s">
        <v>226</v>
      </c>
      <c r="G30" s="111"/>
      <c r="H30" s="112"/>
      <c r="I30" s="112"/>
      <c r="J30" s="112"/>
      <c r="K30" s="112"/>
      <c r="L30" s="112"/>
      <c r="M30" s="112"/>
      <c r="N30" s="112"/>
      <c r="O30" s="112"/>
      <c r="P30" s="112"/>
      <c r="Q30" s="112"/>
    </row>
    <row r="31" spans="1:17" ht="13.2" hidden="1">
      <c r="A31" s="112"/>
      <c r="B31" s="112"/>
      <c r="C31" s="112"/>
      <c r="D31" s="126"/>
      <c r="E31" s="112"/>
      <c r="F31" s="107" t="s">
        <v>122</v>
      </c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</row>
    <row r="32" spans="1:17" ht="13.2" hidden="1">
      <c r="A32" s="112"/>
      <c r="B32" s="112"/>
      <c r="C32" s="112"/>
      <c r="D32" s="112"/>
      <c r="E32" s="112"/>
      <c r="F32" s="126"/>
      <c r="G32" s="46" t="s">
        <v>246</v>
      </c>
      <c r="H32" s="111"/>
      <c r="I32" s="111"/>
      <c r="J32" s="112"/>
      <c r="K32" s="112"/>
      <c r="L32" s="112"/>
      <c r="M32" s="112"/>
      <c r="N32" s="112"/>
      <c r="O32" s="112"/>
      <c r="P32" s="112"/>
      <c r="Q32" s="112"/>
    </row>
    <row r="33" spans="1:17" ht="13.2" hidden="1">
      <c r="A33" s="112"/>
      <c r="B33" s="112"/>
      <c r="C33" s="112"/>
      <c r="D33" s="112"/>
      <c r="E33" s="112"/>
      <c r="F33" s="112"/>
      <c r="G33" s="107" t="s">
        <v>249</v>
      </c>
      <c r="H33" s="109"/>
      <c r="I33" s="108"/>
      <c r="J33" s="111"/>
      <c r="K33" s="112"/>
      <c r="L33" s="112"/>
      <c r="M33" s="112"/>
      <c r="N33" s="112"/>
      <c r="O33" s="112"/>
      <c r="P33" s="112"/>
      <c r="Q33" s="112"/>
    </row>
    <row r="34" spans="1:17" ht="13.2" hidden="1">
      <c r="A34" s="112"/>
      <c r="B34" s="112"/>
      <c r="C34" s="112"/>
      <c r="D34" s="112"/>
      <c r="E34" s="112"/>
      <c r="F34" s="112"/>
      <c r="G34" s="126"/>
      <c r="H34" s="126"/>
      <c r="I34" s="107" t="s">
        <v>295</v>
      </c>
      <c r="J34" s="108"/>
      <c r="K34" s="111"/>
      <c r="L34" s="111"/>
      <c r="M34" s="112"/>
      <c r="N34" s="112"/>
      <c r="O34" s="112"/>
      <c r="P34" s="112"/>
      <c r="Q34" s="112"/>
    </row>
    <row r="35" spans="1:17" ht="13.2" hidden="1">
      <c r="A35" s="112"/>
      <c r="B35" s="112"/>
      <c r="C35" s="112"/>
      <c r="D35" s="112"/>
      <c r="E35" s="112"/>
      <c r="F35" s="112"/>
      <c r="G35" s="112"/>
      <c r="H35" s="112"/>
      <c r="I35" s="126"/>
      <c r="J35" s="107" t="s">
        <v>254</v>
      </c>
      <c r="K35" s="109"/>
      <c r="L35" s="108"/>
      <c r="M35" s="112"/>
      <c r="N35" s="112"/>
      <c r="O35" s="112"/>
      <c r="P35" s="112"/>
      <c r="Q35" s="112"/>
    </row>
    <row r="36" spans="1:17" ht="13.2" hidden="1">
      <c r="A36" s="112"/>
      <c r="B36" s="112"/>
      <c r="C36" s="112"/>
      <c r="D36" s="112"/>
      <c r="E36" s="112"/>
      <c r="F36" s="112"/>
      <c r="G36" s="112"/>
      <c r="H36" s="112"/>
      <c r="I36" s="112"/>
      <c r="J36" s="126"/>
      <c r="K36" s="31" t="s">
        <v>260</v>
      </c>
      <c r="L36" s="28"/>
      <c r="M36" s="111"/>
      <c r="N36" s="111"/>
      <c r="O36" s="111"/>
      <c r="P36" s="111"/>
      <c r="Q36" s="112"/>
    </row>
    <row r="37" spans="1:17" ht="13.2" hidden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26"/>
      <c r="L37" s="107" t="s">
        <v>262</v>
      </c>
      <c r="M37" s="109"/>
      <c r="N37" s="109"/>
      <c r="O37" s="109"/>
      <c r="P37" s="108"/>
      <c r="Q37" s="111"/>
    </row>
    <row r="38" spans="1:17" ht="13.2" hidden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26"/>
      <c r="M38" s="31" t="s">
        <v>266</v>
      </c>
      <c r="N38" s="126"/>
      <c r="O38" s="126"/>
      <c r="P38" s="107" t="s">
        <v>62</v>
      </c>
      <c r="Q38" s="108"/>
    </row>
    <row r="39" spans="1:17" ht="13.2" hidden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27"/>
      <c r="N39" s="111"/>
      <c r="O39" s="111"/>
      <c r="P39" s="27"/>
      <c r="Q39" s="14" t="s">
        <v>33</v>
      </c>
    </row>
    <row r="40" spans="1:17" ht="13.2" hidden="1"/>
    <row r="41" spans="1:17" ht="13.2" hidden="1">
      <c r="A41" s="62" t="s">
        <v>1</v>
      </c>
      <c r="B41" s="62" t="s">
        <v>4</v>
      </c>
      <c r="C41" s="62" t="s">
        <v>5</v>
      </c>
      <c r="D41" s="62" t="s">
        <v>6</v>
      </c>
      <c r="E41" s="62" t="s">
        <v>7</v>
      </c>
      <c r="F41" s="62" t="s">
        <v>8</v>
      </c>
      <c r="G41" s="62" t="s">
        <v>9</v>
      </c>
      <c r="H41" s="62" t="s">
        <v>10</v>
      </c>
      <c r="I41" s="62" t="s">
        <v>11</v>
      </c>
      <c r="J41" s="62" t="s">
        <v>12</v>
      </c>
      <c r="K41" s="62" t="s">
        <v>13</v>
      </c>
      <c r="L41" s="62" t="s">
        <v>16</v>
      </c>
      <c r="M41" s="62" t="s">
        <v>17</v>
      </c>
      <c r="N41" s="62" t="s">
        <v>18</v>
      </c>
      <c r="O41" s="62" t="s">
        <v>19</v>
      </c>
      <c r="P41" s="62" t="s">
        <v>20</v>
      </c>
      <c r="Q41" s="62" t="s">
        <v>21</v>
      </c>
    </row>
    <row r="42" spans="1:17" ht="13.2" hidden="1">
      <c r="A42" s="63">
        <v>46313</v>
      </c>
      <c r="B42" s="63">
        <v>46314</v>
      </c>
      <c r="C42" s="63">
        <v>46315</v>
      </c>
      <c r="D42" s="63">
        <v>46316</v>
      </c>
      <c r="E42" s="63">
        <v>46317</v>
      </c>
      <c r="F42" s="63">
        <v>46318</v>
      </c>
      <c r="G42" s="63">
        <v>46319</v>
      </c>
      <c r="H42" s="63">
        <v>46320</v>
      </c>
      <c r="I42" s="63">
        <v>46321</v>
      </c>
      <c r="J42" s="63">
        <v>46322</v>
      </c>
      <c r="K42" s="63">
        <v>46323</v>
      </c>
      <c r="L42" s="63">
        <v>46324</v>
      </c>
      <c r="M42" s="63">
        <v>46325</v>
      </c>
      <c r="N42" s="63">
        <v>46326</v>
      </c>
      <c r="O42" s="63">
        <v>46327</v>
      </c>
      <c r="P42" s="63">
        <v>46328</v>
      </c>
      <c r="Q42" s="63">
        <v>46329</v>
      </c>
    </row>
    <row r="43" spans="1:17" ht="13.2" hidden="1">
      <c r="A43" s="14" t="s">
        <v>33</v>
      </c>
      <c r="B43" s="28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</row>
    <row r="44" spans="1:17" ht="13.2" hidden="1">
      <c r="A44" s="107" t="s">
        <v>62</v>
      </c>
      <c r="B44" s="108"/>
      <c r="C44" s="111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</row>
    <row r="45" spans="1:17" ht="13.2" hidden="1">
      <c r="A45" s="126"/>
      <c r="B45" s="107" t="s">
        <v>108</v>
      </c>
      <c r="C45" s="108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</row>
    <row r="46" spans="1:17" ht="13.2" hidden="1">
      <c r="A46" s="112"/>
      <c r="B46" s="126"/>
      <c r="C46" s="31" t="s">
        <v>149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</row>
    <row r="47" spans="1:17" ht="13.2" hidden="1">
      <c r="A47" s="112"/>
      <c r="B47" s="112"/>
      <c r="C47" s="31" t="s">
        <v>187</v>
      </c>
      <c r="D47" s="111"/>
      <c r="E47" s="111"/>
      <c r="F47" s="111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</row>
    <row r="48" spans="1:17" ht="13.2" hidden="1">
      <c r="A48" s="112"/>
      <c r="B48" s="112"/>
      <c r="C48" s="107" t="s">
        <v>192</v>
      </c>
      <c r="D48" s="109"/>
      <c r="E48" s="109"/>
      <c r="F48" s="108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</row>
    <row r="49" spans="1:17" ht="13.2" hidden="1">
      <c r="A49" s="112"/>
      <c r="B49" s="112"/>
      <c r="C49" s="126"/>
      <c r="D49" s="46" t="s">
        <v>205</v>
      </c>
      <c r="E49" s="126"/>
      <c r="F49" s="46" t="s">
        <v>226</v>
      </c>
      <c r="G49" s="111"/>
      <c r="H49" s="112"/>
      <c r="I49" s="112"/>
      <c r="J49" s="112"/>
      <c r="K49" s="112"/>
      <c r="L49" s="112"/>
      <c r="M49" s="112"/>
      <c r="N49" s="112"/>
      <c r="O49" s="112"/>
      <c r="P49" s="112"/>
      <c r="Q49" s="112"/>
    </row>
    <row r="50" spans="1:17" ht="13.2" hidden="1">
      <c r="A50" s="112"/>
      <c r="B50" s="112"/>
      <c r="C50" s="112"/>
      <c r="D50" s="126"/>
      <c r="E50" s="112"/>
      <c r="F50" s="107" t="s">
        <v>122</v>
      </c>
      <c r="G50" s="108"/>
      <c r="H50" s="111"/>
      <c r="I50" s="112"/>
      <c r="J50" s="112"/>
      <c r="K50" s="112"/>
      <c r="L50" s="112"/>
      <c r="M50" s="112"/>
      <c r="N50" s="112"/>
      <c r="O50" s="112"/>
      <c r="P50" s="112"/>
      <c r="Q50" s="112"/>
    </row>
    <row r="51" spans="1:17" ht="13.2" hidden="1">
      <c r="A51" s="112"/>
      <c r="B51" s="112"/>
      <c r="C51" s="112"/>
      <c r="D51" s="112"/>
      <c r="E51" s="112"/>
      <c r="F51" s="126"/>
      <c r="G51" s="107" t="s">
        <v>319</v>
      </c>
      <c r="H51" s="108"/>
      <c r="I51" s="111"/>
      <c r="J51" s="111"/>
      <c r="K51" s="112"/>
      <c r="L51" s="112"/>
      <c r="M51" s="112"/>
      <c r="N51" s="112"/>
      <c r="O51" s="112"/>
      <c r="P51" s="112"/>
      <c r="Q51" s="112"/>
    </row>
    <row r="52" spans="1:17" ht="13.2" hidden="1">
      <c r="A52" s="112"/>
      <c r="B52" s="112"/>
      <c r="C52" s="112"/>
      <c r="D52" s="112"/>
      <c r="E52" s="112"/>
      <c r="F52" s="112"/>
      <c r="G52" s="126"/>
      <c r="H52" s="107" t="s">
        <v>249</v>
      </c>
      <c r="I52" s="109"/>
      <c r="J52" s="108"/>
      <c r="K52" s="111"/>
      <c r="L52" s="111"/>
      <c r="M52" s="112"/>
      <c r="N52" s="112"/>
      <c r="O52" s="112"/>
      <c r="P52" s="112"/>
      <c r="Q52" s="112"/>
    </row>
    <row r="53" spans="1:17" ht="13.2" hidden="1">
      <c r="A53" s="112"/>
      <c r="B53" s="112"/>
      <c r="C53" s="112"/>
      <c r="D53" s="112"/>
      <c r="E53" s="112"/>
      <c r="F53" s="112"/>
      <c r="G53" s="112"/>
      <c r="H53" s="126"/>
      <c r="I53" s="126"/>
      <c r="J53" s="107" t="s">
        <v>254</v>
      </c>
      <c r="K53" s="109"/>
      <c r="L53" s="108"/>
      <c r="M53" s="112"/>
      <c r="N53" s="112"/>
      <c r="O53" s="112"/>
      <c r="P53" s="112"/>
      <c r="Q53" s="112"/>
    </row>
    <row r="54" spans="1:17" ht="13.2" hidden="1">
      <c r="A54" s="112"/>
      <c r="B54" s="112"/>
      <c r="C54" s="112"/>
      <c r="D54" s="112"/>
      <c r="E54" s="112"/>
      <c r="F54" s="112"/>
      <c r="G54" s="112"/>
      <c r="H54" s="112"/>
      <c r="I54" s="112"/>
      <c r="J54" s="126"/>
      <c r="K54" s="46" t="s">
        <v>260</v>
      </c>
      <c r="L54" s="28"/>
      <c r="M54" s="111"/>
      <c r="N54" s="111"/>
      <c r="O54" s="111"/>
      <c r="P54" s="111"/>
      <c r="Q54" s="112"/>
    </row>
    <row r="55" spans="1:17" ht="13.2" hidden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26"/>
      <c r="L55" s="107" t="s">
        <v>262</v>
      </c>
      <c r="M55" s="109"/>
      <c r="N55" s="109"/>
      <c r="O55" s="109"/>
      <c r="P55" s="108"/>
      <c r="Q55" s="112"/>
    </row>
    <row r="56" spans="1:17" ht="13.2" hidden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26"/>
      <c r="M56" s="46" t="s">
        <v>266</v>
      </c>
      <c r="N56" s="126"/>
      <c r="O56" s="126"/>
      <c r="P56" s="28"/>
      <c r="Q56" s="111"/>
    </row>
    <row r="57" spans="1:17" ht="13.2" hidden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26"/>
      <c r="N57" s="112"/>
      <c r="O57" s="112"/>
      <c r="P57" s="65" t="s">
        <v>62</v>
      </c>
      <c r="Q57" s="65"/>
    </row>
    <row r="58" spans="1:17" ht="13.2" hidden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27"/>
      <c r="Q58" s="14" t="s">
        <v>33</v>
      </c>
    </row>
    <row r="59" spans="1:17" ht="13.2" hidden="1"/>
    <row r="60" spans="1:17" ht="13.2">
      <c r="A60" s="2" t="s">
        <v>1</v>
      </c>
      <c r="B60" s="2" t="s">
        <v>4</v>
      </c>
      <c r="C60" s="2" t="s">
        <v>5</v>
      </c>
      <c r="D60" s="2" t="s">
        <v>6</v>
      </c>
      <c r="E60" s="2" t="s">
        <v>7</v>
      </c>
      <c r="F60" s="2" t="s">
        <v>8</v>
      </c>
      <c r="G60" s="2" t="s">
        <v>9</v>
      </c>
      <c r="H60" s="2" t="s">
        <v>10</v>
      </c>
      <c r="I60" s="2" t="s">
        <v>11</v>
      </c>
      <c r="J60" s="2" t="s">
        <v>12</v>
      </c>
      <c r="K60" s="2" t="s">
        <v>13</v>
      </c>
      <c r="L60" s="2" t="s">
        <v>16</v>
      </c>
      <c r="M60" s="2" t="s">
        <v>17</v>
      </c>
      <c r="N60" s="2" t="s">
        <v>18</v>
      </c>
      <c r="O60" s="2" t="s">
        <v>19</v>
      </c>
      <c r="P60" s="2" t="s">
        <v>20</v>
      </c>
      <c r="Q60" s="2" t="s">
        <v>21</v>
      </c>
    </row>
    <row r="61" spans="1:17" ht="13.2">
      <c r="A61" s="63">
        <v>46313</v>
      </c>
      <c r="B61" s="63">
        <v>46314</v>
      </c>
      <c r="C61" s="63">
        <v>46315</v>
      </c>
      <c r="D61" s="63">
        <v>46316</v>
      </c>
      <c r="E61" s="63">
        <v>46317</v>
      </c>
      <c r="F61" s="63">
        <v>46318</v>
      </c>
      <c r="G61" s="63">
        <v>46319</v>
      </c>
      <c r="H61" s="63">
        <v>46320</v>
      </c>
      <c r="I61" s="63">
        <v>46321</v>
      </c>
      <c r="J61" s="63">
        <v>46322</v>
      </c>
      <c r="K61" s="63">
        <v>46323</v>
      </c>
      <c r="L61" s="63">
        <v>46324</v>
      </c>
      <c r="M61" s="63">
        <v>46325</v>
      </c>
      <c r="N61" s="63">
        <v>46326</v>
      </c>
      <c r="O61" s="63">
        <v>46327</v>
      </c>
      <c r="P61" s="63">
        <v>46328</v>
      </c>
      <c r="Q61" s="63">
        <v>46329</v>
      </c>
    </row>
    <row r="62" spans="1:17" ht="13.2">
      <c r="A62" s="14" t="s">
        <v>33</v>
      </c>
      <c r="B62" s="28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</row>
    <row r="63" spans="1:17" ht="13.2">
      <c r="A63" s="107" t="s">
        <v>62</v>
      </c>
      <c r="B63" s="108"/>
      <c r="C63" s="111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</row>
    <row r="64" spans="1:17" ht="13.2">
      <c r="A64" s="126"/>
      <c r="B64" s="107" t="s">
        <v>108</v>
      </c>
      <c r="C64" s="108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</row>
    <row r="65" spans="1:17" ht="13.2">
      <c r="A65" s="112"/>
      <c r="B65" s="126"/>
      <c r="C65" s="31" t="s">
        <v>149</v>
      </c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</row>
    <row r="66" spans="1:17" ht="13.2">
      <c r="A66" s="112"/>
      <c r="B66" s="112"/>
      <c r="C66" s="31" t="s">
        <v>187</v>
      </c>
      <c r="D66" s="111"/>
      <c r="E66" s="111"/>
      <c r="F66" s="111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</row>
    <row r="67" spans="1:17" ht="13.2">
      <c r="A67" s="112"/>
      <c r="B67" s="112"/>
      <c r="C67" s="107" t="s">
        <v>192</v>
      </c>
      <c r="D67" s="109"/>
      <c r="E67" s="109"/>
      <c r="F67" s="108"/>
      <c r="G67" s="111"/>
      <c r="H67" s="112"/>
      <c r="I67" s="112"/>
      <c r="J67" s="112"/>
      <c r="K67" s="112"/>
      <c r="L67" s="112"/>
      <c r="M67" s="112"/>
      <c r="N67" s="112"/>
      <c r="O67" s="112"/>
      <c r="P67" s="112"/>
      <c r="Q67" s="112"/>
    </row>
    <row r="68" spans="1:17" ht="13.2">
      <c r="A68" s="112"/>
      <c r="B68" s="112"/>
      <c r="C68" s="126"/>
      <c r="D68" s="46" t="s">
        <v>357</v>
      </c>
      <c r="E68" s="126"/>
      <c r="F68" s="107" t="s">
        <v>358</v>
      </c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</row>
    <row r="69" spans="1:17" ht="13.2">
      <c r="A69" s="112"/>
      <c r="B69" s="112"/>
      <c r="C69" s="112"/>
      <c r="D69" s="126"/>
      <c r="E69" s="112"/>
      <c r="F69" s="46" t="s">
        <v>226</v>
      </c>
      <c r="G69" s="28"/>
      <c r="H69" s="112"/>
      <c r="I69" s="112"/>
      <c r="J69" s="112"/>
      <c r="K69" s="112"/>
      <c r="L69" s="112"/>
      <c r="M69" s="112"/>
      <c r="N69" s="112"/>
      <c r="O69" s="112"/>
      <c r="P69" s="112"/>
      <c r="Q69" s="112"/>
    </row>
    <row r="70" spans="1:17" ht="13.2">
      <c r="A70" s="112"/>
      <c r="B70" s="112"/>
      <c r="C70" s="112"/>
      <c r="D70" s="112"/>
      <c r="E70" s="112"/>
      <c r="F70" s="126"/>
      <c r="G70" s="107" t="s">
        <v>122</v>
      </c>
      <c r="H70" s="108"/>
      <c r="I70" s="112"/>
      <c r="J70" s="112"/>
      <c r="K70" s="112"/>
      <c r="L70" s="112"/>
      <c r="M70" s="112"/>
      <c r="N70" s="112"/>
      <c r="O70" s="112"/>
      <c r="P70" s="112"/>
      <c r="Q70" s="112"/>
    </row>
    <row r="71" spans="1:17" ht="13.2">
      <c r="A71" s="112"/>
      <c r="B71" s="112"/>
      <c r="C71" s="112"/>
      <c r="D71" s="112"/>
      <c r="E71" s="112"/>
      <c r="F71" s="112"/>
      <c r="G71" s="126"/>
      <c r="H71" s="46" t="s">
        <v>246</v>
      </c>
      <c r="I71" s="111"/>
      <c r="J71" s="111"/>
      <c r="K71" s="112"/>
      <c r="L71" s="112"/>
      <c r="M71" s="112"/>
      <c r="N71" s="112"/>
      <c r="O71" s="112"/>
      <c r="P71" s="112"/>
      <c r="Q71" s="112"/>
    </row>
    <row r="72" spans="1:17" ht="13.2">
      <c r="A72" s="112"/>
      <c r="B72" s="112"/>
      <c r="C72" s="112"/>
      <c r="D72" s="112"/>
      <c r="E72" s="112"/>
      <c r="F72" s="112"/>
      <c r="G72" s="112"/>
      <c r="H72" s="107" t="s">
        <v>143</v>
      </c>
      <c r="I72" s="109"/>
      <c r="J72" s="108"/>
      <c r="K72" s="111"/>
      <c r="L72" s="111"/>
      <c r="M72" s="112"/>
      <c r="N72" s="112"/>
      <c r="O72" s="112"/>
      <c r="P72" s="112"/>
      <c r="Q72" s="112"/>
    </row>
    <row r="73" spans="1:17" ht="13.2">
      <c r="A73" s="112"/>
      <c r="B73" s="112"/>
      <c r="C73" s="112"/>
      <c r="D73" s="112"/>
      <c r="E73" s="112"/>
      <c r="F73" s="112"/>
      <c r="G73" s="112"/>
      <c r="H73" s="126"/>
      <c r="I73" s="126"/>
      <c r="J73" s="107" t="s">
        <v>160</v>
      </c>
      <c r="K73" s="109"/>
      <c r="L73" s="108"/>
      <c r="M73" s="112"/>
      <c r="N73" s="112"/>
      <c r="O73" s="112"/>
      <c r="P73" s="112"/>
      <c r="Q73" s="112"/>
    </row>
    <row r="74" spans="1:17" ht="13.2">
      <c r="A74" s="112"/>
      <c r="B74" s="112"/>
      <c r="C74" s="112"/>
      <c r="D74" s="112"/>
      <c r="E74" s="112"/>
      <c r="F74" s="112"/>
      <c r="G74" s="112"/>
      <c r="H74" s="112"/>
      <c r="I74" s="112"/>
      <c r="J74" s="126"/>
      <c r="K74" s="46" t="s">
        <v>260</v>
      </c>
      <c r="L74" s="28"/>
      <c r="M74" s="111"/>
      <c r="N74" s="111"/>
      <c r="O74" s="111"/>
      <c r="P74" s="111"/>
      <c r="Q74" s="112"/>
    </row>
    <row r="75" spans="1:17" ht="13.2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26"/>
      <c r="L75" s="107" t="s">
        <v>170</v>
      </c>
      <c r="M75" s="109"/>
      <c r="N75" s="109"/>
      <c r="O75" s="109"/>
      <c r="P75" s="108"/>
      <c r="Q75" s="111"/>
    </row>
    <row r="76" spans="1:17" ht="13.2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26"/>
      <c r="M76" s="126"/>
      <c r="N76" s="126"/>
      <c r="O76" s="126"/>
      <c r="P76" s="65" t="s">
        <v>62</v>
      </c>
      <c r="Q76" s="65"/>
    </row>
    <row r="77" spans="1:17" ht="13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27"/>
      <c r="Q77" s="14" t="s">
        <v>33</v>
      </c>
    </row>
    <row r="79" spans="1:17" ht="13.2">
      <c r="A79" s="139" t="s">
        <v>1835</v>
      </c>
      <c r="B79" s="139"/>
      <c r="C79" s="139"/>
      <c r="D79" s="139"/>
      <c r="E79" s="139"/>
      <c r="F79" s="139"/>
    </row>
    <row r="80" spans="1:17" ht="13.2">
      <c r="A80" s="21"/>
      <c r="B80" s="10" t="s">
        <v>56</v>
      </c>
      <c r="D80" s="34" t="s">
        <v>177</v>
      </c>
      <c r="E80" s="10" t="s">
        <v>182</v>
      </c>
    </row>
    <row r="81" spans="1:5" ht="13.2">
      <c r="A81" s="25"/>
      <c r="B81" s="10" t="s">
        <v>98</v>
      </c>
      <c r="D81" s="34" t="s">
        <v>190</v>
      </c>
      <c r="E81" s="10" t="s">
        <v>363</v>
      </c>
    </row>
    <row r="82" spans="1:5" ht="13.2">
      <c r="A82" s="30"/>
      <c r="B82" s="10" t="s">
        <v>139</v>
      </c>
    </row>
  </sheetData>
  <mergeCells count="144">
    <mergeCell ref="A79:F79"/>
    <mergeCell ref="O76:O77"/>
    <mergeCell ref="G52:G58"/>
    <mergeCell ref="H53:H58"/>
    <mergeCell ref="I53:I58"/>
    <mergeCell ref="J54:J58"/>
    <mergeCell ref="K55:K58"/>
    <mergeCell ref="L56:L58"/>
    <mergeCell ref="O56:O58"/>
    <mergeCell ref="A63:B63"/>
    <mergeCell ref="A64:A77"/>
    <mergeCell ref="B64:C64"/>
    <mergeCell ref="B65:B77"/>
    <mergeCell ref="C68:C77"/>
    <mergeCell ref="E68:E77"/>
    <mergeCell ref="D69:D77"/>
    <mergeCell ref="M76:M77"/>
    <mergeCell ref="N76:N77"/>
    <mergeCell ref="F70:F77"/>
    <mergeCell ref="G71:G77"/>
    <mergeCell ref="H73:H77"/>
    <mergeCell ref="I73:I77"/>
    <mergeCell ref="J74:J77"/>
    <mergeCell ref="K75:K77"/>
    <mergeCell ref="L76:L77"/>
    <mergeCell ref="L62:L72"/>
    <mergeCell ref="J73:L73"/>
    <mergeCell ref="J62:J71"/>
    <mergeCell ref="K62:K72"/>
    <mergeCell ref="M62:M74"/>
    <mergeCell ref="N62:N74"/>
    <mergeCell ref="O62:O74"/>
    <mergeCell ref="P62:P74"/>
    <mergeCell ref="Q62:Q75"/>
    <mergeCell ref="L75:P75"/>
    <mergeCell ref="C67:F67"/>
    <mergeCell ref="F68:G68"/>
    <mergeCell ref="G70:H70"/>
    <mergeCell ref="H72:J72"/>
    <mergeCell ref="C62:C63"/>
    <mergeCell ref="D62:D66"/>
    <mergeCell ref="E62:E66"/>
    <mergeCell ref="F62:F66"/>
    <mergeCell ref="G62:G67"/>
    <mergeCell ref="H62:H69"/>
    <mergeCell ref="I62:I71"/>
    <mergeCell ref="B45:C45"/>
    <mergeCell ref="C48:F48"/>
    <mergeCell ref="A44:B44"/>
    <mergeCell ref="A45:A58"/>
    <mergeCell ref="B46:B58"/>
    <mergeCell ref="C49:C58"/>
    <mergeCell ref="E49:E58"/>
    <mergeCell ref="D50:D58"/>
    <mergeCell ref="F51:F58"/>
    <mergeCell ref="F50:G50"/>
    <mergeCell ref="G51:H51"/>
    <mergeCell ref="H52:J52"/>
    <mergeCell ref="C43:C44"/>
    <mergeCell ref="D43:D47"/>
    <mergeCell ref="E43:E47"/>
    <mergeCell ref="F43:F47"/>
    <mergeCell ref="G43:G49"/>
    <mergeCell ref="H43:H50"/>
    <mergeCell ref="I43:I51"/>
    <mergeCell ref="Q24:Q37"/>
    <mergeCell ref="P38:Q38"/>
    <mergeCell ref="L43:L52"/>
    <mergeCell ref="J53:L53"/>
    <mergeCell ref="J43:J51"/>
    <mergeCell ref="K43:K52"/>
    <mergeCell ref="M43:M54"/>
    <mergeCell ref="N43:N54"/>
    <mergeCell ref="O43:O54"/>
    <mergeCell ref="P43:P54"/>
    <mergeCell ref="Q43:Q56"/>
    <mergeCell ref="L55:P55"/>
    <mergeCell ref="J36:J39"/>
    <mergeCell ref="K37:K39"/>
    <mergeCell ref="L38:L39"/>
    <mergeCell ref="N38:N39"/>
    <mergeCell ref="O38:O39"/>
    <mergeCell ref="N56:N58"/>
    <mergeCell ref="M57:M58"/>
    <mergeCell ref="J24:J33"/>
    <mergeCell ref="G33:I33"/>
    <mergeCell ref="I34:J34"/>
    <mergeCell ref="J35:L35"/>
    <mergeCell ref="L37:P37"/>
    <mergeCell ref="K24:K34"/>
    <mergeCell ref="L24:L34"/>
    <mergeCell ref="M24:M36"/>
    <mergeCell ref="N24:N36"/>
    <mergeCell ref="O24:O36"/>
    <mergeCell ref="P24:P36"/>
    <mergeCell ref="G34:G39"/>
    <mergeCell ref="H34:H39"/>
    <mergeCell ref="I35:I39"/>
    <mergeCell ref="A18:O18"/>
    <mergeCell ref="P18:Q18"/>
    <mergeCell ref="A19:P19"/>
    <mergeCell ref="A6:B8"/>
    <mergeCell ref="A9:C9"/>
    <mergeCell ref="F9:G9"/>
    <mergeCell ref="A11:F11"/>
    <mergeCell ref="G11:H11"/>
    <mergeCell ref="A12:G13"/>
    <mergeCell ref="A14:I15"/>
    <mergeCell ref="N17:Q17"/>
    <mergeCell ref="H9:Q9"/>
    <mergeCell ref="G10:Q10"/>
    <mergeCell ref="I11:Q12"/>
    <mergeCell ref="H13:J13"/>
    <mergeCell ref="K13:Q13"/>
    <mergeCell ref="J14:L14"/>
    <mergeCell ref="M14:Q14"/>
    <mergeCell ref="A16:K16"/>
    <mergeCell ref="A17:L17"/>
    <mergeCell ref="B3:Q3"/>
    <mergeCell ref="A4:B4"/>
    <mergeCell ref="C4:Q4"/>
    <mergeCell ref="B5:C5"/>
    <mergeCell ref="D5:Q7"/>
    <mergeCell ref="C8:F8"/>
    <mergeCell ref="G8:Q8"/>
    <mergeCell ref="K15:Q15"/>
    <mergeCell ref="L16:P16"/>
    <mergeCell ref="B26:C26"/>
    <mergeCell ref="C29:F29"/>
    <mergeCell ref="C24:C25"/>
    <mergeCell ref="D24:D28"/>
    <mergeCell ref="E24:E28"/>
    <mergeCell ref="F24:F28"/>
    <mergeCell ref="G24:G30"/>
    <mergeCell ref="H24:H32"/>
    <mergeCell ref="I24:I32"/>
    <mergeCell ref="F31:G31"/>
    <mergeCell ref="A25:B25"/>
    <mergeCell ref="A26:A39"/>
    <mergeCell ref="B27:B39"/>
    <mergeCell ref="C30:C39"/>
    <mergeCell ref="E30:E39"/>
    <mergeCell ref="D31:D39"/>
    <mergeCell ref="F32:F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8"/>
  <sheetViews>
    <sheetView workbookViewId="0"/>
  </sheetViews>
  <sheetFormatPr defaultColWidth="12.6640625" defaultRowHeight="15.75" customHeight="1"/>
  <cols>
    <col min="1" max="1" width="10.88671875" customWidth="1"/>
    <col min="2" max="2" width="18.33203125" customWidth="1"/>
    <col min="3" max="3" width="47.6640625" customWidth="1"/>
    <col min="4" max="4" width="8" customWidth="1"/>
    <col min="5" max="5" width="15.21875" customWidth="1"/>
    <col min="6" max="6" width="11" customWidth="1"/>
    <col min="8" max="8" width="29.77734375" customWidth="1"/>
    <col min="9" max="9" width="18.88671875" customWidth="1"/>
    <col min="10" max="10" width="30.6640625" customWidth="1"/>
    <col min="14" max="14" width="37.44140625" customWidth="1"/>
  </cols>
  <sheetData>
    <row r="1" spans="1:17">
      <c r="A1" s="6" t="s">
        <v>2</v>
      </c>
      <c r="B1" s="6" t="s">
        <v>22</v>
      </c>
      <c r="C1" s="6" t="s">
        <v>23</v>
      </c>
      <c r="D1" s="6" t="s">
        <v>24</v>
      </c>
      <c r="E1" s="9" t="s">
        <v>25</v>
      </c>
      <c r="F1" s="9" t="s">
        <v>27</v>
      </c>
      <c r="G1" s="6" t="s">
        <v>29</v>
      </c>
      <c r="H1" s="6" t="s">
        <v>31</v>
      </c>
      <c r="I1" s="10"/>
      <c r="L1" s="13"/>
      <c r="P1" s="16"/>
      <c r="Q1" s="16"/>
    </row>
    <row r="2" spans="1:17">
      <c r="A2" s="19">
        <v>46314</v>
      </c>
      <c r="B2" s="6" t="s">
        <v>15</v>
      </c>
      <c r="C2" s="6" t="s">
        <v>44</v>
      </c>
      <c r="D2" s="6">
        <v>1</v>
      </c>
      <c r="E2" s="9" t="s">
        <v>46</v>
      </c>
      <c r="F2" s="20" t="s">
        <v>48</v>
      </c>
      <c r="G2" s="6" t="s">
        <v>51</v>
      </c>
      <c r="H2" s="6" t="s">
        <v>53</v>
      </c>
      <c r="L2" s="13"/>
      <c r="P2" s="16"/>
      <c r="Q2" s="16"/>
    </row>
    <row r="3" spans="1:17">
      <c r="A3" s="6" t="s">
        <v>58</v>
      </c>
      <c r="B3" s="6" t="s">
        <v>59</v>
      </c>
      <c r="C3" s="6" t="s">
        <v>60</v>
      </c>
      <c r="D3" s="6" t="s">
        <v>63</v>
      </c>
      <c r="E3" s="9" t="s">
        <v>65</v>
      </c>
      <c r="F3" s="22" t="s">
        <v>67</v>
      </c>
      <c r="G3" s="6" t="s">
        <v>68</v>
      </c>
      <c r="H3" s="6" t="s">
        <v>69</v>
      </c>
      <c r="L3" s="13"/>
      <c r="P3" s="16"/>
      <c r="Q3" s="16"/>
    </row>
    <row r="4" spans="1:17">
      <c r="A4" s="19">
        <v>46315</v>
      </c>
      <c r="B4" s="6" t="s">
        <v>74</v>
      </c>
      <c r="C4" s="6" t="s">
        <v>75</v>
      </c>
      <c r="D4" s="6">
        <v>3</v>
      </c>
      <c r="E4" s="9" t="s">
        <v>76</v>
      </c>
      <c r="F4" s="20" t="s">
        <v>77</v>
      </c>
      <c r="G4" s="6" t="s">
        <v>79</v>
      </c>
      <c r="H4" s="6" t="s">
        <v>81</v>
      </c>
      <c r="L4" s="13"/>
      <c r="P4" s="16"/>
      <c r="Q4" s="16"/>
    </row>
    <row r="5" spans="1:17">
      <c r="A5" s="6" t="s">
        <v>84</v>
      </c>
      <c r="B5" s="6" t="s">
        <v>85</v>
      </c>
      <c r="C5" s="6" t="s">
        <v>86</v>
      </c>
      <c r="D5" s="6" t="s">
        <v>87</v>
      </c>
      <c r="E5" s="9" t="s">
        <v>89</v>
      </c>
      <c r="F5" s="22" t="s">
        <v>92</v>
      </c>
      <c r="G5" s="6" t="s">
        <v>95</v>
      </c>
      <c r="H5" s="6" t="s">
        <v>96</v>
      </c>
      <c r="L5" s="13"/>
      <c r="P5" s="16"/>
      <c r="Q5" s="16"/>
    </row>
    <row r="6" spans="1:17">
      <c r="A6" s="19">
        <v>46318</v>
      </c>
      <c r="B6" s="6" t="s">
        <v>101</v>
      </c>
      <c r="C6" s="6" t="s">
        <v>102</v>
      </c>
      <c r="D6" s="6">
        <v>1</v>
      </c>
      <c r="E6" s="9" t="s">
        <v>103</v>
      </c>
      <c r="F6" s="20" t="s">
        <v>104</v>
      </c>
      <c r="G6" s="6" t="s">
        <v>51</v>
      </c>
      <c r="H6" s="6" t="s">
        <v>109</v>
      </c>
      <c r="L6" s="13"/>
      <c r="P6" s="16"/>
      <c r="Q6" s="16"/>
    </row>
    <row r="7" spans="1:17">
      <c r="A7" s="6" t="s">
        <v>112</v>
      </c>
      <c r="B7" s="6" t="s">
        <v>113</v>
      </c>
      <c r="C7" s="6" t="s">
        <v>114</v>
      </c>
      <c r="D7" s="6" t="s">
        <v>63</v>
      </c>
      <c r="E7" s="9" t="s">
        <v>115</v>
      </c>
      <c r="F7" s="22" t="s">
        <v>116</v>
      </c>
      <c r="G7" s="6" t="s">
        <v>68</v>
      </c>
      <c r="H7" s="6" t="s">
        <v>120</v>
      </c>
      <c r="L7" s="13"/>
      <c r="P7" s="16"/>
      <c r="Q7" s="16"/>
    </row>
    <row r="8" spans="1:17">
      <c r="A8" s="19">
        <v>46319</v>
      </c>
      <c r="B8" s="6" t="s">
        <v>122</v>
      </c>
      <c r="C8" s="6" t="s">
        <v>124</v>
      </c>
      <c r="D8" s="6">
        <v>1</v>
      </c>
      <c r="E8" s="9" t="s">
        <v>125</v>
      </c>
      <c r="F8" s="20" t="s">
        <v>127</v>
      </c>
      <c r="G8" s="6" t="s">
        <v>129</v>
      </c>
      <c r="H8" s="6" t="s">
        <v>131</v>
      </c>
      <c r="P8" s="16"/>
      <c r="Q8" s="16"/>
    </row>
    <row r="9" spans="1:17">
      <c r="A9" s="6" t="s">
        <v>132</v>
      </c>
      <c r="B9" s="6" t="s">
        <v>133</v>
      </c>
      <c r="C9" s="6" t="s">
        <v>134</v>
      </c>
      <c r="D9" s="6" t="s">
        <v>63</v>
      </c>
      <c r="E9" s="9" t="s">
        <v>136</v>
      </c>
      <c r="F9" s="22" t="s">
        <v>138</v>
      </c>
      <c r="G9" s="9" t="s">
        <v>141</v>
      </c>
      <c r="H9" s="6" t="s">
        <v>142</v>
      </c>
      <c r="P9" s="16"/>
      <c r="Q9" s="16"/>
    </row>
    <row r="10" spans="1:17">
      <c r="A10" s="19">
        <v>46320</v>
      </c>
      <c r="B10" s="6" t="s">
        <v>143</v>
      </c>
      <c r="C10" s="6" t="s">
        <v>144</v>
      </c>
      <c r="D10" s="6">
        <v>2</v>
      </c>
      <c r="E10" s="6" t="s">
        <v>145</v>
      </c>
      <c r="F10" s="20" t="s">
        <v>146</v>
      </c>
      <c r="G10" s="6" t="s">
        <v>79</v>
      </c>
      <c r="H10" s="6" t="s">
        <v>147</v>
      </c>
      <c r="P10" s="16"/>
      <c r="Q10" s="16"/>
    </row>
    <row r="11" spans="1:17">
      <c r="A11" s="6" t="s">
        <v>148</v>
      </c>
      <c r="B11" s="6" t="s">
        <v>150</v>
      </c>
      <c r="C11" s="6" t="s">
        <v>153</v>
      </c>
      <c r="D11" s="6" t="s">
        <v>154</v>
      </c>
      <c r="E11" s="6" t="s">
        <v>155</v>
      </c>
      <c r="F11" s="22" t="s">
        <v>157</v>
      </c>
      <c r="G11" s="6" t="s">
        <v>95</v>
      </c>
      <c r="H11" s="6" t="s">
        <v>159</v>
      </c>
    </row>
    <row r="12" spans="1:17">
      <c r="A12" s="19">
        <v>46322</v>
      </c>
      <c r="B12" s="6" t="s">
        <v>160</v>
      </c>
      <c r="C12" s="6" t="s">
        <v>161</v>
      </c>
      <c r="D12" s="6">
        <v>2</v>
      </c>
      <c r="E12" s="6" t="s">
        <v>162</v>
      </c>
      <c r="F12" s="20" t="s">
        <v>163</v>
      </c>
      <c r="G12" s="6" t="s">
        <v>51</v>
      </c>
      <c r="H12" s="6" t="s">
        <v>53</v>
      </c>
    </row>
    <row r="13" spans="1:17">
      <c r="A13" s="6" t="s">
        <v>164</v>
      </c>
      <c r="B13" s="6" t="s">
        <v>165</v>
      </c>
      <c r="C13" s="6" t="s">
        <v>166</v>
      </c>
      <c r="D13" s="6" t="s">
        <v>154</v>
      </c>
      <c r="E13" s="6" t="s">
        <v>167</v>
      </c>
      <c r="F13" s="22" t="s">
        <v>168</v>
      </c>
      <c r="G13" s="6" t="s">
        <v>68</v>
      </c>
      <c r="H13" s="6" t="s">
        <v>69</v>
      </c>
    </row>
    <row r="14" spans="1:17">
      <c r="A14" s="19">
        <v>46324</v>
      </c>
      <c r="B14" s="6" t="s">
        <v>170</v>
      </c>
      <c r="C14" s="6" t="s">
        <v>171</v>
      </c>
      <c r="D14" s="6">
        <v>4</v>
      </c>
      <c r="E14" s="6" t="s">
        <v>172</v>
      </c>
      <c r="F14" s="20" t="s">
        <v>173</v>
      </c>
      <c r="G14" s="6" t="s">
        <v>174</v>
      </c>
      <c r="H14" s="6" t="s">
        <v>175</v>
      </c>
    </row>
    <row r="15" spans="1:17">
      <c r="A15" s="6" t="s">
        <v>178</v>
      </c>
      <c r="B15" s="6" t="s">
        <v>179</v>
      </c>
      <c r="C15" s="6" t="s">
        <v>180</v>
      </c>
      <c r="D15" s="6" t="s">
        <v>183</v>
      </c>
      <c r="E15" s="6" t="s">
        <v>184</v>
      </c>
      <c r="F15" s="22" t="s">
        <v>185</v>
      </c>
      <c r="G15" s="36" t="s">
        <v>186</v>
      </c>
      <c r="H15" s="6" t="s">
        <v>189</v>
      </c>
      <c r="I15" s="40"/>
      <c r="J15" s="43"/>
    </row>
    <row r="16" spans="1:17">
      <c r="A16" s="45"/>
      <c r="B16" s="45"/>
      <c r="C16" s="45"/>
      <c r="D16" s="45"/>
      <c r="E16" s="45"/>
      <c r="F16" s="47"/>
      <c r="G16" s="48"/>
      <c r="H16" s="45"/>
      <c r="I16" s="40"/>
    </row>
    <row r="17" spans="1:14">
      <c r="A17" s="45"/>
      <c r="B17" s="45"/>
      <c r="C17" s="45"/>
      <c r="D17" s="45"/>
      <c r="E17" s="45"/>
      <c r="F17" s="47"/>
      <c r="G17" s="48"/>
      <c r="H17" s="45"/>
      <c r="I17" s="40"/>
    </row>
    <row r="18" spans="1:14">
      <c r="A18" s="45"/>
      <c r="B18" s="45"/>
      <c r="C18" s="51"/>
      <c r="D18" s="45"/>
      <c r="E18" s="45"/>
      <c r="F18" s="47"/>
      <c r="G18" s="48"/>
      <c r="H18" s="45"/>
      <c r="I18" s="40"/>
    </row>
    <row r="19" spans="1:14">
      <c r="A19" s="45"/>
      <c r="B19" s="45"/>
      <c r="C19" s="45"/>
      <c r="D19" s="45"/>
      <c r="E19" s="45"/>
      <c r="F19" s="45"/>
      <c r="G19" s="45"/>
      <c r="H19" s="45"/>
    </row>
    <row r="20" spans="1:14">
      <c r="A20" s="45"/>
      <c r="B20" s="45"/>
      <c r="C20" s="45"/>
      <c r="D20" s="45"/>
      <c r="E20" s="45"/>
      <c r="F20" s="45"/>
      <c r="G20" s="45"/>
      <c r="H20" s="45"/>
    </row>
    <row r="21" spans="1:14">
      <c r="A21" s="45"/>
      <c r="B21" s="45"/>
      <c r="C21" s="45"/>
      <c r="D21" s="45"/>
      <c r="E21" s="45"/>
      <c r="F21" s="45"/>
      <c r="G21" s="45"/>
      <c r="H21" s="45"/>
    </row>
    <row r="22" spans="1:14">
      <c r="A22" s="45"/>
      <c r="B22" s="45"/>
      <c r="C22" s="45"/>
      <c r="D22" s="45"/>
      <c r="E22" s="45"/>
      <c r="F22" s="45"/>
      <c r="G22" s="45"/>
      <c r="H22" s="45"/>
      <c r="N22" s="54"/>
    </row>
    <row r="23" spans="1:14">
      <c r="A23" s="45"/>
      <c r="B23" s="45"/>
      <c r="C23" s="45"/>
      <c r="D23" s="45"/>
      <c r="E23" s="45"/>
      <c r="F23" s="45"/>
      <c r="G23" s="45"/>
      <c r="H23" s="45"/>
    </row>
    <row r="24" spans="1:14">
      <c r="A24" s="45"/>
      <c r="B24" s="45"/>
      <c r="C24" s="45"/>
      <c r="D24" s="45"/>
      <c r="E24" s="45"/>
      <c r="F24" s="45"/>
      <c r="G24" s="45"/>
      <c r="H24" s="45"/>
    </row>
    <row r="25" spans="1:14">
      <c r="A25" s="45"/>
      <c r="B25" s="45"/>
      <c r="C25" s="45"/>
      <c r="D25" s="45"/>
      <c r="E25" s="45"/>
      <c r="F25" s="45"/>
      <c r="G25" s="45"/>
      <c r="H25" s="45"/>
    </row>
    <row r="26" spans="1:14">
      <c r="A26" s="45"/>
      <c r="B26" s="45"/>
      <c r="C26" s="45"/>
      <c r="D26" s="45"/>
      <c r="E26" s="45"/>
      <c r="F26" s="45"/>
      <c r="G26" s="45"/>
      <c r="H26" s="45"/>
    </row>
    <row r="27" spans="1:14">
      <c r="A27" s="45"/>
      <c r="B27" s="45"/>
      <c r="C27" s="45"/>
      <c r="D27" s="45"/>
      <c r="E27" s="45"/>
      <c r="F27" s="45"/>
      <c r="G27" s="45"/>
      <c r="H27" s="45"/>
    </row>
    <row r="28" spans="1:14">
      <c r="A28" s="45"/>
      <c r="B28" s="45"/>
      <c r="C28" s="45"/>
      <c r="D28" s="45"/>
      <c r="E28" s="45"/>
      <c r="F28" s="45"/>
      <c r="G28" s="45"/>
      <c r="H28" s="45"/>
    </row>
    <row r="29" spans="1:14">
      <c r="A29" s="45"/>
      <c r="B29" s="45"/>
      <c r="C29" s="45"/>
      <c r="D29" s="45"/>
      <c r="E29" s="45"/>
      <c r="F29" s="45"/>
      <c r="G29" s="45"/>
      <c r="H29" s="45"/>
    </row>
    <row r="30" spans="1:14">
      <c r="A30" s="45"/>
      <c r="B30" s="45"/>
      <c r="C30" s="45"/>
      <c r="D30" s="45"/>
      <c r="E30" s="45"/>
      <c r="F30" s="45"/>
      <c r="G30" s="45"/>
      <c r="H30" s="45"/>
    </row>
    <row r="31" spans="1:14">
      <c r="A31" s="45"/>
      <c r="B31" s="45"/>
      <c r="C31" s="45"/>
      <c r="D31" s="45"/>
      <c r="E31" s="45"/>
      <c r="F31" s="45"/>
      <c r="G31" s="45"/>
      <c r="H31" s="45"/>
    </row>
    <row r="32" spans="1:14">
      <c r="A32" s="45"/>
      <c r="B32" s="45"/>
      <c r="C32" s="45"/>
      <c r="D32" s="45"/>
      <c r="E32" s="45"/>
      <c r="F32" s="45"/>
      <c r="G32" s="45"/>
      <c r="H32" s="45"/>
    </row>
    <row r="33" spans="1:13">
      <c r="A33" s="45"/>
      <c r="B33" s="45"/>
      <c r="C33" s="45"/>
      <c r="D33" s="45"/>
      <c r="E33" s="45"/>
      <c r="F33" s="45"/>
      <c r="G33" s="45"/>
      <c r="H33" s="45"/>
    </row>
    <row r="34" spans="1:13">
      <c r="A34" s="45"/>
      <c r="B34" s="45"/>
      <c r="C34" s="45"/>
      <c r="D34" s="45"/>
      <c r="E34" s="45"/>
      <c r="F34" s="45"/>
      <c r="G34" s="45"/>
      <c r="H34" s="45"/>
    </row>
    <row r="35" spans="1:13">
      <c r="A35" s="45"/>
      <c r="B35" s="45"/>
      <c r="C35" s="45"/>
      <c r="D35" s="45"/>
      <c r="E35" s="45"/>
      <c r="F35" s="45"/>
      <c r="G35" s="45"/>
      <c r="H35" s="45"/>
    </row>
    <row r="36" spans="1:13">
      <c r="A36" s="45"/>
      <c r="B36" s="45"/>
      <c r="C36" s="45"/>
      <c r="D36" s="45"/>
      <c r="E36" s="45"/>
      <c r="F36" s="45"/>
      <c r="G36" s="45"/>
      <c r="H36" s="45"/>
    </row>
    <row r="37" spans="1:13">
      <c r="A37" s="45"/>
      <c r="B37" s="45"/>
      <c r="C37" s="45"/>
      <c r="D37" s="45"/>
      <c r="E37" s="45"/>
      <c r="F37" s="45"/>
      <c r="G37" s="45"/>
      <c r="H37" s="45"/>
    </row>
    <row r="38" spans="1:13">
      <c r="A38" s="45"/>
      <c r="B38" s="45"/>
      <c r="C38" s="45"/>
      <c r="D38" s="45"/>
      <c r="E38" s="45"/>
      <c r="F38" s="45"/>
      <c r="G38" s="45"/>
      <c r="H38" s="45"/>
    </row>
    <row r="39" spans="1:13">
      <c r="A39" s="45"/>
      <c r="B39" s="45"/>
      <c r="C39" s="45"/>
      <c r="D39" s="45"/>
      <c r="E39" s="45"/>
      <c r="F39" s="45"/>
      <c r="G39" s="45"/>
      <c r="H39" s="45"/>
    </row>
    <row r="40" spans="1:13">
      <c r="A40" s="45"/>
      <c r="B40" s="45"/>
      <c r="C40" s="45"/>
      <c r="D40" s="45"/>
      <c r="E40" s="45"/>
      <c r="F40" s="45"/>
      <c r="G40" s="45"/>
      <c r="H40" s="45"/>
    </row>
    <row r="41" spans="1:13">
      <c r="A41" s="45"/>
      <c r="B41" s="45"/>
      <c r="C41" s="45"/>
      <c r="D41" s="45"/>
      <c r="E41" s="45"/>
      <c r="F41" s="45"/>
      <c r="G41" s="45"/>
      <c r="H41" s="45"/>
    </row>
    <row r="42" spans="1:13">
      <c r="A42" s="45"/>
      <c r="B42" s="45"/>
      <c r="C42" s="45"/>
      <c r="D42" s="45"/>
      <c r="E42" s="45"/>
      <c r="F42" s="45"/>
      <c r="G42" s="45"/>
      <c r="H42" s="45"/>
    </row>
    <row r="43" spans="1:13">
      <c r="A43" s="45"/>
      <c r="B43" s="45"/>
      <c r="C43" s="45"/>
      <c r="D43" s="45"/>
      <c r="E43" s="45"/>
      <c r="F43" s="45"/>
      <c r="G43" s="45"/>
      <c r="H43" s="45"/>
    </row>
    <row r="44" spans="1:13">
      <c r="A44" s="45"/>
      <c r="B44" s="45"/>
      <c r="C44" s="45"/>
      <c r="D44" s="45"/>
      <c r="E44" s="45"/>
      <c r="F44" s="45"/>
      <c r="G44" s="45"/>
      <c r="H44" s="45"/>
    </row>
    <row r="45" spans="1:13">
      <c r="A45" s="45"/>
      <c r="B45" s="45"/>
      <c r="C45" s="45"/>
      <c r="D45" s="45"/>
      <c r="E45" s="45"/>
      <c r="F45" s="45"/>
      <c r="G45" s="45"/>
      <c r="H45" s="45"/>
    </row>
    <row r="46" spans="1:13">
      <c r="A46" s="45"/>
      <c r="B46" s="45"/>
      <c r="C46" s="45"/>
      <c r="D46" s="45"/>
      <c r="E46" s="45"/>
      <c r="F46" s="45"/>
      <c r="G46" s="45"/>
      <c r="H46" s="45"/>
    </row>
    <row r="47" spans="1:13">
      <c r="A47" s="45"/>
      <c r="B47" s="45"/>
      <c r="C47" s="45"/>
      <c r="D47" s="45"/>
      <c r="E47" s="45"/>
      <c r="F47" s="45"/>
      <c r="G47" s="45"/>
      <c r="H47" s="45"/>
    </row>
    <row r="48" spans="1:13">
      <c r="A48" s="45"/>
      <c r="B48" s="45"/>
      <c r="C48" s="45"/>
      <c r="D48" s="45"/>
      <c r="E48" s="45"/>
      <c r="F48" s="45"/>
      <c r="G48" s="45"/>
      <c r="H48" s="45"/>
      <c r="L48" s="16"/>
      <c r="M48" s="16"/>
    </row>
    <row r="49" spans="1:13">
      <c r="A49" s="45"/>
      <c r="B49" s="45"/>
      <c r="C49" s="45"/>
      <c r="D49" s="45"/>
      <c r="E49" s="45"/>
      <c r="F49" s="45"/>
      <c r="G49" s="45"/>
      <c r="H49" s="45"/>
      <c r="L49" s="16"/>
      <c r="M49" s="16"/>
    </row>
    <row r="50" spans="1:13">
      <c r="A50" s="45"/>
      <c r="B50" s="45"/>
      <c r="C50" s="45"/>
      <c r="D50" s="45"/>
      <c r="E50" s="45"/>
      <c r="F50" s="45"/>
      <c r="G50" s="45"/>
      <c r="H50" s="45"/>
      <c r="L50" s="16"/>
      <c r="M50" s="16"/>
    </row>
    <row r="51" spans="1:13">
      <c r="A51" s="45"/>
      <c r="B51" s="45"/>
      <c r="C51" s="45"/>
      <c r="D51" s="45"/>
      <c r="E51" s="45"/>
      <c r="F51" s="45"/>
      <c r="G51" s="45"/>
      <c r="H51" s="45"/>
      <c r="L51" s="16"/>
      <c r="M51" s="16"/>
    </row>
    <row r="52" spans="1:13">
      <c r="A52" s="45"/>
      <c r="B52" s="45"/>
      <c r="C52" s="45"/>
      <c r="D52" s="45"/>
      <c r="E52" s="45"/>
      <c r="F52" s="45"/>
      <c r="G52" s="45"/>
      <c r="H52" s="45"/>
      <c r="L52" s="16"/>
      <c r="M52" s="16"/>
    </row>
    <row r="53" spans="1:13">
      <c r="A53" s="45"/>
      <c r="B53" s="45"/>
      <c r="C53" s="45"/>
      <c r="D53" s="45"/>
      <c r="E53" s="45"/>
      <c r="F53" s="45"/>
      <c r="G53" s="45"/>
      <c r="H53" s="45"/>
      <c r="L53" s="16"/>
      <c r="M53" s="16"/>
    </row>
    <row r="54" spans="1:13">
      <c r="A54" s="45"/>
      <c r="B54" s="45"/>
      <c r="C54" s="45"/>
      <c r="D54" s="45"/>
      <c r="E54" s="45"/>
      <c r="F54" s="45"/>
      <c r="G54" s="45"/>
      <c r="H54" s="45"/>
      <c r="L54" s="16"/>
      <c r="M54" s="16"/>
    </row>
    <row r="55" spans="1:13">
      <c r="A55" s="45"/>
      <c r="B55" s="45"/>
      <c r="C55" s="45"/>
      <c r="D55" s="45"/>
      <c r="E55" s="45"/>
      <c r="F55" s="45"/>
      <c r="G55" s="45"/>
      <c r="H55" s="45"/>
      <c r="L55" s="16"/>
      <c r="M55" s="16"/>
    </row>
    <row r="56" spans="1:13">
      <c r="A56" s="45"/>
      <c r="B56" s="45"/>
      <c r="C56" s="45"/>
      <c r="D56" s="45"/>
      <c r="E56" s="45"/>
      <c r="F56" s="45"/>
      <c r="G56" s="45"/>
      <c r="H56" s="45"/>
      <c r="L56" s="16"/>
      <c r="M56" s="16"/>
    </row>
    <row r="57" spans="1:13">
      <c r="A57" s="45"/>
      <c r="B57" s="45"/>
      <c r="C57" s="45"/>
      <c r="D57" s="45"/>
      <c r="E57" s="45"/>
      <c r="F57" s="45"/>
      <c r="G57" s="45"/>
      <c r="H57" s="45"/>
      <c r="L57" s="16"/>
      <c r="M57" s="16"/>
    </row>
    <row r="58" spans="1:13">
      <c r="A58" s="45"/>
      <c r="B58" s="45"/>
      <c r="C58" s="45"/>
      <c r="D58" s="45"/>
      <c r="E58" s="45"/>
      <c r="F58" s="45"/>
      <c r="G58" s="45"/>
      <c r="H58" s="45"/>
      <c r="L58" s="16"/>
      <c r="M58" s="16"/>
    </row>
    <row r="59" spans="1:13">
      <c r="A59" s="45"/>
      <c r="B59" s="45"/>
      <c r="C59" s="45"/>
      <c r="D59" s="45"/>
      <c r="E59" s="45"/>
      <c r="F59" s="45"/>
      <c r="G59" s="45"/>
      <c r="H59" s="45"/>
      <c r="L59" s="16"/>
      <c r="M59" s="16"/>
    </row>
    <row r="60" spans="1:13">
      <c r="A60" s="45"/>
      <c r="B60" s="45"/>
      <c r="C60" s="45"/>
      <c r="D60" s="45"/>
      <c r="E60" s="45"/>
      <c r="F60" s="45"/>
      <c r="G60" s="45"/>
      <c r="H60" s="45"/>
      <c r="L60" s="16"/>
      <c r="M60" s="16"/>
    </row>
    <row r="61" spans="1:13">
      <c r="A61" s="45"/>
      <c r="B61" s="45"/>
      <c r="C61" s="45"/>
      <c r="D61" s="45"/>
      <c r="E61" s="45"/>
      <c r="F61" s="45"/>
      <c r="G61" s="45"/>
      <c r="H61" s="45"/>
      <c r="L61" s="16"/>
      <c r="M61" s="16"/>
    </row>
    <row r="62" spans="1:13">
      <c r="A62" s="45"/>
      <c r="B62" s="45"/>
      <c r="C62" s="45"/>
      <c r="D62" s="45"/>
      <c r="E62" s="45"/>
      <c r="F62" s="45"/>
      <c r="G62" s="45"/>
      <c r="H62" s="45"/>
      <c r="L62" s="16"/>
      <c r="M62" s="16"/>
    </row>
    <row r="63" spans="1:13">
      <c r="A63" s="45"/>
      <c r="B63" s="45"/>
      <c r="C63" s="45"/>
      <c r="D63" s="45"/>
      <c r="E63" s="45"/>
      <c r="F63" s="45"/>
      <c r="G63" s="45"/>
      <c r="H63" s="45"/>
      <c r="L63" s="16"/>
      <c r="M63" s="16"/>
    </row>
    <row r="64" spans="1:13">
      <c r="A64" s="45"/>
      <c r="B64" s="45"/>
      <c r="C64" s="45"/>
      <c r="D64" s="45"/>
      <c r="E64" s="45"/>
      <c r="F64" s="45"/>
      <c r="G64" s="45"/>
      <c r="H64" s="45"/>
      <c r="L64" s="16"/>
      <c r="M64" s="16"/>
    </row>
    <row r="65" spans="1:13">
      <c r="A65" s="45"/>
      <c r="B65" s="45"/>
      <c r="C65" s="45"/>
      <c r="D65" s="45"/>
      <c r="E65" s="45"/>
      <c r="F65" s="45"/>
      <c r="G65" s="45"/>
      <c r="H65" s="45"/>
      <c r="L65" s="16"/>
      <c r="M65" s="16"/>
    </row>
    <row r="66" spans="1:13">
      <c r="A66" s="45"/>
      <c r="B66" s="45"/>
      <c r="C66" s="45"/>
      <c r="D66" s="45"/>
      <c r="E66" s="45"/>
      <c r="F66" s="45"/>
      <c r="G66" s="45"/>
      <c r="H66" s="45"/>
      <c r="L66" s="16"/>
      <c r="M66" s="16"/>
    </row>
    <row r="67" spans="1:13">
      <c r="A67" s="45"/>
      <c r="B67" s="45"/>
      <c r="C67" s="45"/>
      <c r="D67" s="45"/>
      <c r="E67" s="45"/>
      <c r="F67" s="45"/>
      <c r="G67" s="45"/>
      <c r="H67" s="45"/>
      <c r="L67" s="16"/>
      <c r="M67" s="16"/>
    </row>
    <row r="68" spans="1:13">
      <c r="A68" s="45"/>
      <c r="B68" s="45"/>
      <c r="C68" s="45"/>
      <c r="D68" s="45"/>
      <c r="E68" s="45"/>
      <c r="F68" s="45"/>
      <c r="G68" s="45"/>
      <c r="H68" s="45"/>
      <c r="L68" s="16"/>
      <c r="M68" s="16"/>
    </row>
    <row r="69" spans="1:13">
      <c r="A69" s="45"/>
      <c r="B69" s="45"/>
      <c r="C69" s="45"/>
      <c r="D69" s="45"/>
      <c r="E69" s="45"/>
      <c r="F69" s="45"/>
      <c r="G69" s="45"/>
      <c r="H69" s="45"/>
      <c r="L69" s="16"/>
      <c r="M69" s="16"/>
    </row>
    <row r="70" spans="1:13">
      <c r="A70" s="45"/>
      <c r="B70" s="45"/>
      <c r="C70" s="45"/>
      <c r="D70" s="45"/>
      <c r="E70" s="45"/>
      <c r="F70" s="45"/>
      <c r="G70" s="45"/>
      <c r="H70" s="45"/>
      <c r="L70" s="16"/>
      <c r="M70" s="16"/>
    </row>
    <row r="71" spans="1:13">
      <c r="A71" s="45"/>
      <c r="B71" s="45"/>
      <c r="C71" s="45"/>
      <c r="D71" s="45"/>
      <c r="E71" s="45"/>
      <c r="F71" s="45"/>
      <c r="G71" s="45"/>
      <c r="H71" s="45"/>
      <c r="L71" s="16"/>
      <c r="M71" s="16"/>
    </row>
    <row r="72" spans="1:13">
      <c r="A72" s="45"/>
      <c r="B72" s="45"/>
      <c r="C72" s="45"/>
      <c r="D72" s="45"/>
      <c r="E72" s="45"/>
      <c r="F72" s="45"/>
      <c r="G72" s="45"/>
      <c r="H72" s="45"/>
      <c r="L72" s="16"/>
      <c r="M72" s="16"/>
    </row>
    <row r="73" spans="1:13">
      <c r="A73" s="45"/>
      <c r="B73" s="45"/>
      <c r="C73" s="45"/>
      <c r="D73" s="45"/>
      <c r="E73" s="45"/>
      <c r="F73" s="45"/>
      <c r="G73" s="45"/>
      <c r="H73" s="45"/>
      <c r="L73" s="16"/>
      <c r="M73" s="16"/>
    </row>
    <row r="74" spans="1:13">
      <c r="A74" s="45"/>
      <c r="B74" s="45"/>
      <c r="C74" s="45"/>
      <c r="D74" s="45"/>
      <c r="E74" s="45"/>
      <c r="F74" s="45"/>
      <c r="G74" s="45"/>
      <c r="H74" s="45"/>
      <c r="L74" s="16"/>
      <c r="M74" s="16"/>
    </row>
    <row r="75" spans="1:13">
      <c r="A75" s="45"/>
      <c r="B75" s="45"/>
      <c r="C75" s="45"/>
      <c r="D75" s="45"/>
      <c r="E75" s="45"/>
      <c r="F75" s="45"/>
      <c r="G75" s="45"/>
      <c r="H75" s="45"/>
      <c r="L75" s="16"/>
      <c r="M75" s="16"/>
    </row>
    <row r="76" spans="1:13">
      <c r="A76" s="45"/>
      <c r="B76" s="45"/>
      <c r="C76" s="45"/>
      <c r="D76" s="45"/>
      <c r="E76" s="45"/>
      <c r="F76" s="45"/>
      <c r="G76" s="45"/>
      <c r="H76" s="45"/>
      <c r="L76" s="16"/>
      <c r="M76" s="16"/>
    </row>
    <row r="77" spans="1:13">
      <c r="A77" s="45"/>
      <c r="B77" s="45"/>
      <c r="C77" s="45"/>
      <c r="D77" s="45"/>
      <c r="E77" s="45"/>
      <c r="F77" s="45"/>
      <c r="G77" s="45"/>
      <c r="H77" s="45"/>
      <c r="L77" s="16"/>
      <c r="M77" s="16"/>
    </row>
    <row r="78" spans="1:13">
      <c r="A78" s="45"/>
      <c r="B78" s="45"/>
      <c r="C78" s="45"/>
      <c r="D78" s="45"/>
      <c r="E78" s="45"/>
      <c r="F78" s="45"/>
      <c r="G78" s="45"/>
      <c r="H78" s="45"/>
      <c r="L78" s="16"/>
      <c r="M78" s="16"/>
    </row>
    <row r="79" spans="1:13">
      <c r="A79" s="45"/>
      <c r="B79" s="45"/>
      <c r="C79" s="45"/>
      <c r="D79" s="45"/>
      <c r="E79" s="45"/>
      <c r="F79" s="45"/>
      <c r="G79" s="45"/>
      <c r="H79" s="45"/>
      <c r="L79" s="16"/>
      <c r="M79" s="16"/>
    </row>
    <row r="80" spans="1:13">
      <c r="A80" s="45"/>
      <c r="B80" s="45"/>
      <c r="C80" s="45"/>
      <c r="D80" s="45"/>
      <c r="E80" s="45"/>
      <c r="F80" s="45"/>
      <c r="G80" s="45"/>
      <c r="H80" s="45"/>
      <c r="L80" s="16"/>
      <c r="M80" s="16"/>
    </row>
    <row r="81" spans="1:13">
      <c r="A81" s="45"/>
      <c r="B81" s="45"/>
      <c r="C81" s="45"/>
      <c r="D81" s="45"/>
      <c r="E81" s="45"/>
      <c r="F81" s="45"/>
      <c r="G81" s="45"/>
      <c r="H81" s="45"/>
      <c r="L81" s="16"/>
      <c r="M81" s="16"/>
    </row>
    <row r="82" spans="1:13">
      <c r="A82" s="45"/>
      <c r="B82" s="45"/>
      <c r="C82" s="45"/>
      <c r="D82" s="45"/>
      <c r="E82" s="45"/>
      <c r="F82" s="45"/>
      <c r="G82" s="45"/>
      <c r="H82" s="45"/>
      <c r="L82" s="16"/>
      <c r="M82" s="16"/>
    </row>
    <row r="83" spans="1:13">
      <c r="A83" s="45"/>
      <c r="B83" s="45"/>
      <c r="C83" s="45"/>
      <c r="D83" s="45"/>
      <c r="E83" s="45"/>
      <c r="F83" s="45"/>
      <c r="G83" s="45"/>
      <c r="H83" s="45"/>
      <c r="L83" s="16"/>
      <c r="M83" s="16"/>
    </row>
    <row r="84" spans="1:13">
      <c r="A84" s="45"/>
      <c r="B84" s="45"/>
      <c r="C84" s="45"/>
      <c r="D84" s="45"/>
      <c r="E84" s="45"/>
      <c r="F84" s="45"/>
      <c r="G84" s="45"/>
      <c r="H84" s="45"/>
      <c r="L84" s="16"/>
      <c r="M84" s="16"/>
    </row>
    <row r="85" spans="1:13">
      <c r="A85" s="45"/>
      <c r="B85" s="45"/>
      <c r="C85" s="45"/>
      <c r="D85" s="45"/>
      <c r="E85" s="45"/>
      <c r="F85" s="45"/>
      <c r="G85" s="45"/>
      <c r="H85" s="45"/>
      <c r="L85" s="16"/>
      <c r="M85" s="16"/>
    </row>
    <row r="86" spans="1:13">
      <c r="A86" s="45"/>
      <c r="B86" s="45"/>
      <c r="C86" s="45"/>
      <c r="D86" s="45"/>
      <c r="E86" s="45"/>
      <c r="F86" s="45"/>
      <c r="G86" s="45"/>
      <c r="H86" s="45"/>
      <c r="L86" s="16"/>
      <c r="M86" s="16"/>
    </row>
    <row r="87" spans="1:13">
      <c r="A87" s="45"/>
      <c r="B87" s="45"/>
      <c r="C87" s="45"/>
      <c r="D87" s="45"/>
      <c r="E87" s="45"/>
      <c r="F87" s="45"/>
      <c r="G87" s="45"/>
      <c r="H87" s="45"/>
      <c r="L87" s="16"/>
      <c r="M87" s="16"/>
    </row>
    <row r="88" spans="1:13">
      <c r="A88" s="45"/>
      <c r="B88" s="45"/>
      <c r="C88" s="45"/>
      <c r="D88" s="45"/>
      <c r="E88" s="45"/>
      <c r="F88" s="45"/>
      <c r="G88" s="45"/>
      <c r="H88" s="45"/>
      <c r="L88" s="16"/>
      <c r="M88" s="16"/>
    </row>
    <row r="89" spans="1:13">
      <c r="A89" s="45"/>
      <c r="B89" s="45"/>
      <c r="C89" s="45"/>
      <c r="D89" s="45"/>
      <c r="E89" s="45"/>
      <c r="F89" s="45"/>
      <c r="G89" s="45"/>
      <c r="H89" s="45"/>
      <c r="L89" s="16"/>
      <c r="M89" s="16"/>
    </row>
    <row r="90" spans="1:13">
      <c r="A90" s="45"/>
      <c r="B90" s="45"/>
      <c r="C90" s="45"/>
      <c r="D90" s="45"/>
      <c r="E90" s="45"/>
      <c r="F90" s="45"/>
      <c r="G90" s="45"/>
      <c r="H90" s="45"/>
      <c r="L90" s="16"/>
      <c r="M90" s="16"/>
    </row>
    <row r="91" spans="1:13">
      <c r="A91" s="45"/>
      <c r="B91" s="45"/>
      <c r="C91" s="45"/>
      <c r="D91" s="45"/>
      <c r="E91" s="45"/>
      <c r="F91" s="45"/>
      <c r="G91" s="45"/>
      <c r="H91" s="45"/>
      <c r="L91" s="16"/>
      <c r="M91" s="16"/>
    </row>
    <row r="92" spans="1:13">
      <c r="A92" s="45"/>
      <c r="B92" s="45"/>
      <c r="C92" s="45"/>
      <c r="D92" s="45"/>
      <c r="E92" s="45"/>
      <c r="F92" s="45"/>
      <c r="G92" s="45"/>
      <c r="H92" s="45"/>
      <c r="L92" s="16"/>
      <c r="M92" s="16"/>
    </row>
    <row r="93" spans="1:13">
      <c r="A93" s="45"/>
      <c r="B93" s="45"/>
      <c r="C93" s="45"/>
      <c r="D93" s="45"/>
      <c r="E93" s="45"/>
      <c r="F93" s="45"/>
      <c r="G93" s="45"/>
      <c r="H93" s="45"/>
      <c r="L93" s="16"/>
      <c r="M93" s="16"/>
    </row>
    <row r="94" spans="1:13">
      <c r="A94" s="45"/>
      <c r="B94" s="45"/>
      <c r="C94" s="45"/>
      <c r="D94" s="45"/>
      <c r="E94" s="45"/>
      <c r="F94" s="45"/>
      <c r="G94" s="45"/>
      <c r="H94" s="45"/>
      <c r="L94" s="16"/>
      <c r="M94" s="16"/>
    </row>
    <row r="95" spans="1:13">
      <c r="A95" s="45"/>
      <c r="B95" s="45"/>
      <c r="C95" s="45"/>
      <c r="D95" s="45"/>
      <c r="E95" s="45"/>
      <c r="F95" s="45"/>
      <c r="G95" s="45"/>
      <c r="H95" s="45"/>
      <c r="L95" s="16"/>
      <c r="M95" s="16"/>
    </row>
    <row r="96" spans="1:13">
      <c r="A96" s="45"/>
      <c r="B96" s="45"/>
      <c r="C96" s="45"/>
      <c r="D96" s="45"/>
      <c r="E96" s="45"/>
      <c r="F96" s="45"/>
      <c r="G96" s="45"/>
      <c r="H96" s="45"/>
      <c r="L96" s="16"/>
      <c r="M96" s="16"/>
    </row>
    <row r="97" spans="1:13">
      <c r="A97" s="45"/>
      <c r="B97" s="45"/>
      <c r="C97" s="45"/>
      <c r="D97" s="45"/>
      <c r="E97" s="45"/>
      <c r="F97" s="45"/>
      <c r="G97" s="45"/>
      <c r="H97" s="45"/>
      <c r="L97" s="16"/>
      <c r="M97" s="16"/>
    </row>
    <row r="98" spans="1:13">
      <c r="A98" s="45"/>
      <c r="B98" s="45"/>
      <c r="C98" s="45"/>
      <c r="D98" s="45"/>
      <c r="E98" s="45"/>
      <c r="F98" s="45"/>
      <c r="G98" s="45"/>
      <c r="H98" s="45"/>
      <c r="L98" s="16"/>
      <c r="M98" s="16"/>
    </row>
    <row r="99" spans="1:13">
      <c r="A99" s="45"/>
      <c r="B99" s="45"/>
      <c r="C99" s="45"/>
      <c r="D99" s="45"/>
      <c r="E99" s="45"/>
      <c r="F99" s="45"/>
      <c r="G99" s="45"/>
      <c r="H99" s="45"/>
      <c r="L99" s="16"/>
      <c r="M99" s="16"/>
    </row>
    <row r="100" spans="1:13">
      <c r="A100" s="45"/>
      <c r="B100" s="45"/>
      <c r="C100" s="45"/>
      <c r="D100" s="45"/>
      <c r="E100" s="45"/>
      <c r="F100" s="45"/>
      <c r="G100" s="45"/>
      <c r="H100" s="45"/>
      <c r="L100" s="16"/>
      <c r="M100" s="16"/>
    </row>
    <row r="101" spans="1:13">
      <c r="A101" s="45"/>
      <c r="B101" s="45"/>
      <c r="C101" s="45"/>
      <c r="D101" s="45"/>
      <c r="E101" s="45"/>
      <c r="F101" s="45"/>
      <c r="G101" s="45"/>
      <c r="H101" s="45"/>
      <c r="L101" s="16"/>
      <c r="M101" s="16"/>
    </row>
    <row r="102" spans="1:13">
      <c r="A102" s="45"/>
      <c r="B102" s="45"/>
      <c r="C102" s="45"/>
      <c r="D102" s="45"/>
      <c r="E102" s="45"/>
      <c r="F102" s="45"/>
      <c r="G102" s="45"/>
      <c r="H102" s="45"/>
      <c r="L102" s="16"/>
      <c r="M102" s="16"/>
    </row>
    <row r="103" spans="1:13">
      <c r="A103" s="45"/>
      <c r="B103" s="45"/>
      <c r="C103" s="45"/>
      <c r="D103" s="45"/>
      <c r="E103" s="45"/>
      <c r="F103" s="45"/>
      <c r="G103" s="45"/>
      <c r="H103" s="45"/>
      <c r="L103" s="16"/>
      <c r="M103" s="16"/>
    </row>
    <row r="104" spans="1:13">
      <c r="A104" s="45"/>
      <c r="B104" s="45"/>
      <c r="C104" s="45"/>
      <c r="D104" s="45"/>
      <c r="E104" s="45"/>
      <c r="F104" s="45"/>
      <c r="G104" s="45"/>
      <c r="H104" s="45"/>
      <c r="L104" s="16"/>
      <c r="M104" s="16"/>
    </row>
    <row r="105" spans="1:13">
      <c r="A105" s="45"/>
      <c r="B105" s="45"/>
      <c r="C105" s="45"/>
      <c r="D105" s="45"/>
      <c r="E105" s="45"/>
      <c r="F105" s="45"/>
      <c r="G105" s="45"/>
      <c r="H105" s="45"/>
      <c r="L105" s="16"/>
      <c r="M105" s="16"/>
    </row>
    <row r="106" spans="1:13">
      <c r="A106" s="45"/>
      <c r="B106" s="45"/>
      <c r="C106" s="45"/>
      <c r="D106" s="45"/>
      <c r="E106" s="45"/>
      <c r="F106" s="45"/>
      <c r="G106" s="45"/>
      <c r="H106" s="45"/>
      <c r="L106" s="16"/>
      <c r="M106" s="16"/>
    </row>
    <row r="107" spans="1:13">
      <c r="A107" s="45"/>
      <c r="B107" s="45"/>
      <c r="C107" s="45"/>
      <c r="D107" s="45"/>
      <c r="E107" s="45"/>
      <c r="F107" s="45"/>
      <c r="G107" s="45"/>
      <c r="H107" s="45"/>
      <c r="L107" s="16"/>
      <c r="M107" s="16"/>
    </row>
    <row r="108" spans="1:13">
      <c r="A108" s="45"/>
      <c r="B108" s="45"/>
      <c r="C108" s="45"/>
      <c r="D108" s="45"/>
      <c r="E108" s="45"/>
      <c r="F108" s="45"/>
      <c r="G108" s="45"/>
      <c r="H108" s="45"/>
      <c r="L108" s="16"/>
      <c r="M108" s="16"/>
    </row>
    <row r="109" spans="1:13">
      <c r="A109" s="45"/>
      <c r="B109" s="45"/>
      <c r="C109" s="45"/>
      <c r="D109" s="45"/>
      <c r="E109" s="45"/>
      <c r="F109" s="45"/>
      <c r="G109" s="45"/>
      <c r="H109" s="45"/>
      <c r="L109" s="16"/>
      <c r="M109" s="16"/>
    </row>
    <row r="110" spans="1:13">
      <c r="A110" s="45"/>
      <c r="B110" s="45"/>
      <c r="C110" s="45"/>
      <c r="D110" s="45"/>
      <c r="E110" s="45"/>
      <c r="F110" s="45"/>
      <c r="G110" s="45"/>
      <c r="H110" s="45"/>
      <c r="L110" s="16"/>
      <c r="M110" s="16"/>
    </row>
    <row r="111" spans="1:13">
      <c r="A111" s="45"/>
      <c r="B111" s="45"/>
      <c r="C111" s="45"/>
      <c r="D111" s="45"/>
      <c r="E111" s="45"/>
      <c r="F111" s="45"/>
      <c r="G111" s="45"/>
      <c r="H111" s="45"/>
      <c r="L111" s="16"/>
      <c r="M111" s="16"/>
    </row>
    <row r="112" spans="1:13">
      <c r="A112" s="45"/>
      <c r="B112" s="45"/>
      <c r="C112" s="45"/>
      <c r="D112" s="45"/>
      <c r="E112" s="45"/>
      <c r="F112" s="45"/>
      <c r="G112" s="45"/>
      <c r="H112" s="45"/>
      <c r="L112" s="16"/>
      <c r="M112" s="16"/>
    </row>
    <row r="113" spans="1:13">
      <c r="A113" s="45"/>
      <c r="B113" s="45"/>
      <c r="C113" s="45"/>
      <c r="D113" s="45"/>
      <c r="E113" s="45"/>
      <c r="F113" s="45"/>
      <c r="G113" s="45"/>
      <c r="H113" s="45"/>
      <c r="L113" s="16"/>
      <c r="M113" s="16"/>
    </row>
    <row r="114" spans="1:13">
      <c r="A114" s="45"/>
      <c r="B114" s="45"/>
      <c r="C114" s="45"/>
      <c r="D114" s="45"/>
      <c r="E114" s="45"/>
      <c r="F114" s="45"/>
      <c r="G114" s="45"/>
      <c r="H114" s="45"/>
      <c r="L114" s="16"/>
      <c r="M114" s="16"/>
    </row>
    <row r="115" spans="1:13">
      <c r="A115" s="45"/>
      <c r="B115" s="45"/>
      <c r="C115" s="45"/>
      <c r="D115" s="45"/>
      <c r="E115" s="45"/>
      <c r="F115" s="45"/>
      <c r="G115" s="45"/>
      <c r="H115" s="45"/>
      <c r="L115" s="16"/>
      <c r="M115" s="16"/>
    </row>
    <row r="116" spans="1:13">
      <c r="A116" s="45"/>
      <c r="B116" s="45"/>
      <c r="C116" s="45"/>
      <c r="D116" s="45"/>
      <c r="E116" s="45"/>
      <c r="F116" s="45"/>
      <c r="G116" s="45"/>
      <c r="H116" s="45"/>
      <c r="L116" s="16"/>
      <c r="M116" s="16"/>
    </row>
    <row r="117" spans="1:13">
      <c r="A117" s="45"/>
      <c r="B117" s="45"/>
      <c r="C117" s="45"/>
      <c r="D117" s="45"/>
      <c r="E117" s="45"/>
      <c r="F117" s="45"/>
      <c r="G117" s="45"/>
      <c r="H117" s="45"/>
      <c r="L117" s="16"/>
      <c r="M117" s="16"/>
    </row>
    <row r="118" spans="1:13">
      <c r="A118" s="45"/>
      <c r="B118" s="45"/>
      <c r="C118" s="45"/>
      <c r="D118" s="45"/>
      <c r="E118" s="45"/>
      <c r="F118" s="45"/>
      <c r="G118" s="45"/>
      <c r="H118" s="45"/>
      <c r="L118" s="16"/>
      <c r="M118" s="16"/>
    </row>
    <row r="119" spans="1:13">
      <c r="A119" s="45"/>
      <c r="B119" s="45"/>
      <c r="C119" s="45"/>
      <c r="D119" s="45"/>
      <c r="E119" s="45"/>
      <c r="F119" s="45"/>
      <c r="G119" s="45"/>
      <c r="H119" s="45"/>
      <c r="L119" s="16"/>
      <c r="M119" s="16"/>
    </row>
    <row r="120" spans="1:13">
      <c r="A120" s="45"/>
      <c r="B120" s="45"/>
      <c r="C120" s="45"/>
      <c r="D120" s="45"/>
      <c r="E120" s="45"/>
      <c r="F120" s="45"/>
      <c r="G120" s="45"/>
      <c r="H120" s="45"/>
      <c r="L120" s="16"/>
      <c r="M120" s="16"/>
    </row>
    <row r="121" spans="1:13">
      <c r="A121" s="45"/>
      <c r="B121" s="45"/>
      <c r="C121" s="45"/>
      <c r="D121" s="45"/>
      <c r="E121" s="45"/>
      <c r="F121" s="45"/>
      <c r="G121" s="45"/>
      <c r="H121" s="45"/>
      <c r="L121" s="16"/>
      <c r="M121" s="16"/>
    </row>
    <row r="122" spans="1:13">
      <c r="A122" s="45"/>
      <c r="B122" s="45"/>
      <c r="C122" s="45"/>
      <c r="D122" s="45"/>
      <c r="E122" s="45"/>
      <c r="F122" s="45"/>
      <c r="G122" s="45"/>
      <c r="H122" s="45"/>
      <c r="L122" s="16"/>
      <c r="M122" s="16"/>
    </row>
    <row r="123" spans="1:13">
      <c r="A123" s="45"/>
      <c r="B123" s="45"/>
      <c r="C123" s="45"/>
      <c r="D123" s="45"/>
      <c r="E123" s="45"/>
      <c r="F123" s="45"/>
      <c r="G123" s="45"/>
      <c r="H123" s="45"/>
      <c r="L123" s="16"/>
      <c r="M123" s="16"/>
    </row>
    <row r="124" spans="1:13">
      <c r="A124" s="45"/>
      <c r="B124" s="45"/>
      <c r="C124" s="45"/>
      <c r="D124" s="45"/>
      <c r="E124" s="45"/>
      <c r="F124" s="45"/>
      <c r="G124" s="45"/>
      <c r="H124" s="45"/>
      <c r="L124" s="16"/>
      <c r="M124" s="16"/>
    </row>
    <row r="125" spans="1:13">
      <c r="A125" s="45"/>
      <c r="B125" s="45"/>
      <c r="C125" s="45"/>
      <c r="D125" s="45"/>
      <c r="E125" s="45"/>
      <c r="F125" s="45"/>
      <c r="G125" s="45"/>
      <c r="H125" s="45"/>
      <c r="L125" s="16"/>
      <c r="M125" s="16"/>
    </row>
    <row r="126" spans="1:13">
      <c r="A126" s="45"/>
      <c r="B126" s="45"/>
      <c r="C126" s="45"/>
      <c r="D126" s="45"/>
      <c r="E126" s="45"/>
      <c r="F126" s="45"/>
      <c r="G126" s="45"/>
      <c r="H126" s="45"/>
      <c r="L126" s="16"/>
      <c r="M126" s="16"/>
    </row>
    <row r="127" spans="1:13">
      <c r="A127" s="45"/>
      <c r="B127" s="45"/>
      <c r="C127" s="45"/>
      <c r="D127" s="45"/>
      <c r="E127" s="45"/>
      <c r="F127" s="45"/>
      <c r="G127" s="45"/>
      <c r="H127" s="45"/>
      <c r="L127" s="16"/>
      <c r="M127" s="16"/>
    </row>
    <row r="128" spans="1:13">
      <c r="A128" s="45"/>
      <c r="B128" s="45"/>
      <c r="C128" s="45"/>
      <c r="D128" s="45"/>
      <c r="E128" s="45"/>
      <c r="F128" s="45"/>
      <c r="G128" s="45"/>
      <c r="H128" s="45"/>
      <c r="L128" s="16"/>
      <c r="M128" s="16"/>
    </row>
    <row r="129" spans="1:13">
      <c r="A129" s="45"/>
      <c r="B129" s="45"/>
      <c r="C129" s="45"/>
      <c r="D129" s="45"/>
      <c r="E129" s="45"/>
      <c r="F129" s="45"/>
      <c r="G129" s="45"/>
      <c r="H129" s="45"/>
      <c r="L129" s="16"/>
      <c r="M129" s="16"/>
    </row>
    <row r="130" spans="1:13">
      <c r="A130" s="45"/>
      <c r="B130" s="45"/>
      <c r="C130" s="45"/>
      <c r="D130" s="45"/>
      <c r="E130" s="45"/>
      <c r="F130" s="45"/>
      <c r="G130" s="45"/>
      <c r="H130" s="45"/>
      <c r="L130" s="16"/>
      <c r="M130" s="16"/>
    </row>
    <row r="131" spans="1:13">
      <c r="A131" s="45"/>
      <c r="B131" s="45"/>
      <c r="C131" s="45"/>
      <c r="D131" s="45"/>
      <c r="E131" s="45"/>
      <c r="F131" s="45"/>
      <c r="G131" s="45"/>
      <c r="H131" s="45"/>
      <c r="L131" s="16"/>
      <c r="M131" s="16"/>
    </row>
    <row r="132" spans="1:13">
      <c r="A132" s="45"/>
      <c r="B132" s="45"/>
      <c r="C132" s="45"/>
      <c r="D132" s="45"/>
      <c r="E132" s="45"/>
      <c r="F132" s="45"/>
      <c r="G132" s="45"/>
      <c r="H132" s="45"/>
      <c r="L132" s="16"/>
      <c r="M132" s="16"/>
    </row>
    <row r="133" spans="1:13">
      <c r="A133" s="45"/>
      <c r="B133" s="45"/>
      <c r="C133" s="45"/>
      <c r="D133" s="45"/>
      <c r="E133" s="45"/>
      <c r="F133" s="45"/>
      <c r="G133" s="45"/>
      <c r="H133" s="45"/>
      <c r="L133" s="16"/>
      <c r="M133" s="16"/>
    </row>
    <row r="134" spans="1:13">
      <c r="A134" s="45"/>
      <c r="B134" s="45"/>
      <c r="C134" s="45"/>
      <c r="D134" s="45"/>
      <c r="E134" s="45"/>
      <c r="F134" s="45"/>
      <c r="G134" s="45"/>
      <c r="H134" s="45"/>
      <c r="L134" s="16"/>
      <c r="M134" s="16"/>
    </row>
    <row r="135" spans="1:13">
      <c r="A135" s="45"/>
      <c r="B135" s="45"/>
      <c r="C135" s="45"/>
      <c r="D135" s="45"/>
      <c r="E135" s="45"/>
      <c r="F135" s="45"/>
      <c r="G135" s="45"/>
      <c r="H135" s="45"/>
      <c r="L135" s="16"/>
      <c r="M135" s="16"/>
    </row>
    <row r="136" spans="1:13">
      <c r="A136" s="45"/>
      <c r="B136" s="45"/>
      <c r="C136" s="45"/>
      <c r="D136" s="45"/>
      <c r="E136" s="45"/>
      <c r="F136" s="45"/>
      <c r="G136" s="45"/>
      <c r="H136" s="45"/>
      <c r="L136" s="16"/>
      <c r="M136" s="16"/>
    </row>
    <row r="137" spans="1:13">
      <c r="A137" s="45"/>
      <c r="B137" s="45"/>
      <c r="C137" s="45"/>
      <c r="D137" s="45"/>
      <c r="E137" s="45"/>
      <c r="F137" s="45"/>
      <c r="G137" s="45"/>
      <c r="H137" s="45"/>
      <c r="L137" s="16"/>
      <c r="M137" s="16"/>
    </row>
    <row r="138" spans="1:13">
      <c r="A138" s="45"/>
      <c r="B138" s="45"/>
      <c r="C138" s="45"/>
      <c r="D138" s="45"/>
      <c r="E138" s="45"/>
      <c r="F138" s="45"/>
      <c r="G138" s="45"/>
      <c r="H138" s="45"/>
      <c r="L138" s="16"/>
      <c r="M138" s="16"/>
    </row>
    <row r="139" spans="1:13">
      <c r="A139" s="45"/>
      <c r="B139" s="45"/>
      <c r="C139" s="45"/>
      <c r="D139" s="45"/>
      <c r="E139" s="45"/>
      <c r="F139" s="45"/>
      <c r="G139" s="45"/>
      <c r="H139" s="45"/>
      <c r="L139" s="16"/>
      <c r="M139" s="16"/>
    </row>
    <row r="140" spans="1:13">
      <c r="A140" s="45"/>
      <c r="B140" s="45"/>
      <c r="C140" s="45"/>
      <c r="D140" s="45"/>
      <c r="E140" s="45"/>
      <c r="F140" s="45"/>
      <c r="G140" s="45"/>
      <c r="H140" s="45"/>
      <c r="L140" s="16"/>
      <c r="M140" s="16"/>
    </row>
    <row r="141" spans="1:13">
      <c r="A141" s="45"/>
      <c r="B141" s="45"/>
      <c r="C141" s="45"/>
      <c r="D141" s="45"/>
      <c r="E141" s="45"/>
      <c r="F141" s="45"/>
      <c r="G141" s="45"/>
      <c r="H141" s="45"/>
      <c r="L141" s="16"/>
      <c r="M141" s="16"/>
    </row>
    <row r="142" spans="1:13">
      <c r="A142" s="45"/>
      <c r="B142" s="45"/>
      <c r="C142" s="45"/>
      <c r="D142" s="45"/>
      <c r="E142" s="45"/>
      <c r="F142" s="45"/>
      <c r="G142" s="45"/>
      <c r="H142" s="45"/>
      <c r="L142" s="16"/>
      <c r="M142" s="16"/>
    </row>
    <row r="143" spans="1:13">
      <c r="A143" s="45"/>
      <c r="B143" s="45"/>
      <c r="C143" s="45"/>
      <c r="D143" s="45"/>
      <c r="E143" s="45"/>
      <c r="F143" s="45"/>
      <c r="G143" s="45"/>
      <c r="H143" s="45"/>
      <c r="L143" s="16"/>
      <c r="M143" s="16"/>
    </row>
    <row r="144" spans="1:13">
      <c r="A144" s="45"/>
      <c r="B144" s="45"/>
      <c r="C144" s="45"/>
      <c r="D144" s="45"/>
      <c r="E144" s="45"/>
      <c r="F144" s="45"/>
      <c r="G144" s="45"/>
      <c r="H144" s="45"/>
      <c r="L144" s="16"/>
      <c r="M144" s="16"/>
    </row>
    <row r="145" spans="1:13">
      <c r="A145" s="45"/>
      <c r="B145" s="45"/>
      <c r="C145" s="45"/>
      <c r="D145" s="45"/>
      <c r="E145" s="45"/>
      <c r="F145" s="45"/>
      <c r="G145" s="45"/>
      <c r="H145" s="45"/>
      <c r="L145" s="16"/>
      <c r="M145" s="16"/>
    </row>
    <row r="146" spans="1:13">
      <c r="A146" s="45"/>
      <c r="B146" s="45"/>
      <c r="C146" s="45"/>
      <c r="D146" s="45"/>
      <c r="E146" s="45"/>
      <c r="F146" s="45"/>
      <c r="G146" s="45"/>
      <c r="H146" s="45"/>
      <c r="L146" s="16"/>
      <c r="M146" s="16"/>
    </row>
    <row r="147" spans="1:13">
      <c r="A147" s="45"/>
      <c r="B147" s="45"/>
      <c r="C147" s="45"/>
      <c r="D147" s="45"/>
      <c r="E147" s="45"/>
      <c r="F147" s="45"/>
      <c r="G147" s="45"/>
      <c r="H147" s="45"/>
      <c r="L147" s="16"/>
      <c r="M147" s="16"/>
    </row>
    <row r="148" spans="1:13">
      <c r="A148" s="45"/>
      <c r="B148" s="45"/>
      <c r="C148" s="45"/>
      <c r="D148" s="45"/>
      <c r="E148" s="45"/>
      <c r="F148" s="45"/>
      <c r="G148" s="45"/>
      <c r="H148" s="45"/>
      <c r="L148" s="16"/>
      <c r="M148" s="16"/>
    </row>
    <row r="149" spans="1:13">
      <c r="A149" s="45"/>
      <c r="B149" s="45"/>
      <c r="C149" s="45"/>
      <c r="D149" s="45"/>
      <c r="E149" s="45"/>
      <c r="F149" s="45"/>
      <c r="G149" s="45"/>
      <c r="H149" s="45"/>
      <c r="L149" s="16"/>
      <c r="M149" s="16"/>
    </row>
    <row r="150" spans="1:13">
      <c r="A150" s="45"/>
      <c r="B150" s="45"/>
      <c r="C150" s="45"/>
      <c r="D150" s="45"/>
      <c r="E150" s="45"/>
      <c r="F150" s="45"/>
      <c r="G150" s="45"/>
      <c r="H150" s="45"/>
      <c r="L150" s="16"/>
      <c r="M150" s="16"/>
    </row>
    <row r="151" spans="1:13">
      <c r="A151" s="45"/>
      <c r="B151" s="45"/>
      <c r="C151" s="45"/>
      <c r="D151" s="45"/>
      <c r="E151" s="45"/>
      <c r="F151" s="45"/>
      <c r="G151" s="45"/>
      <c r="H151" s="45"/>
      <c r="L151" s="16"/>
      <c r="M151" s="16"/>
    </row>
    <row r="152" spans="1:13">
      <c r="A152" s="45"/>
      <c r="B152" s="45"/>
      <c r="C152" s="45"/>
      <c r="D152" s="45"/>
      <c r="E152" s="45"/>
      <c r="F152" s="45"/>
      <c r="G152" s="45"/>
      <c r="H152" s="45"/>
      <c r="L152" s="16"/>
      <c r="M152" s="16"/>
    </row>
    <row r="153" spans="1:13">
      <c r="A153" s="45"/>
      <c r="B153" s="45"/>
      <c r="C153" s="45"/>
      <c r="D153" s="45"/>
      <c r="E153" s="45"/>
      <c r="F153" s="45"/>
      <c r="G153" s="45"/>
      <c r="H153" s="45"/>
      <c r="L153" s="16"/>
      <c r="M153" s="16"/>
    </row>
    <row r="154" spans="1:13">
      <c r="A154" s="45"/>
      <c r="B154" s="45"/>
      <c r="C154" s="45"/>
      <c r="D154" s="45"/>
      <c r="E154" s="45"/>
      <c r="F154" s="45"/>
      <c r="G154" s="45"/>
      <c r="H154" s="45"/>
      <c r="L154" s="16"/>
      <c r="M154" s="16"/>
    </row>
    <row r="155" spans="1:13">
      <c r="A155" s="45"/>
      <c r="B155" s="45"/>
      <c r="C155" s="45"/>
      <c r="D155" s="45"/>
      <c r="E155" s="45"/>
      <c r="F155" s="45"/>
      <c r="G155" s="45"/>
      <c r="H155" s="45"/>
      <c r="L155" s="16"/>
      <c r="M155" s="16"/>
    </row>
    <row r="156" spans="1:13">
      <c r="A156" s="45"/>
      <c r="B156" s="45"/>
      <c r="C156" s="45"/>
      <c r="D156" s="45"/>
      <c r="E156" s="45"/>
      <c r="F156" s="45"/>
      <c r="G156" s="45"/>
      <c r="H156" s="45"/>
      <c r="L156" s="16"/>
      <c r="M156" s="16"/>
    </row>
    <row r="157" spans="1:13">
      <c r="A157" s="45"/>
      <c r="B157" s="45"/>
      <c r="C157" s="45"/>
      <c r="D157" s="45"/>
      <c r="E157" s="45"/>
      <c r="F157" s="45"/>
      <c r="G157" s="45"/>
      <c r="H157" s="45"/>
      <c r="L157" s="16"/>
      <c r="M157" s="16"/>
    </row>
    <row r="158" spans="1:13">
      <c r="A158" s="45"/>
      <c r="B158" s="45"/>
      <c r="C158" s="45"/>
      <c r="D158" s="45"/>
      <c r="E158" s="45"/>
      <c r="F158" s="45"/>
      <c r="G158" s="45"/>
      <c r="H158" s="45"/>
      <c r="L158" s="16"/>
      <c r="M158" s="16"/>
    </row>
    <row r="159" spans="1:13">
      <c r="A159" s="45"/>
      <c r="B159" s="45"/>
      <c r="C159" s="45"/>
      <c r="D159" s="45"/>
      <c r="E159" s="45"/>
      <c r="F159" s="45"/>
      <c r="G159" s="45"/>
      <c r="H159" s="45"/>
      <c r="L159" s="16"/>
      <c r="M159" s="16"/>
    </row>
    <row r="160" spans="1:13">
      <c r="A160" s="45"/>
      <c r="B160" s="45"/>
      <c r="C160" s="45"/>
      <c r="D160" s="45"/>
      <c r="E160" s="45"/>
      <c r="F160" s="45"/>
      <c r="G160" s="45"/>
      <c r="H160" s="45"/>
      <c r="L160" s="16"/>
      <c r="M160" s="16"/>
    </row>
    <row r="161" spans="1:13">
      <c r="A161" s="45"/>
      <c r="B161" s="45"/>
      <c r="C161" s="45"/>
      <c r="D161" s="45"/>
      <c r="E161" s="45"/>
      <c r="F161" s="45"/>
      <c r="G161" s="45"/>
      <c r="H161" s="45"/>
      <c r="L161" s="16"/>
      <c r="M161" s="16"/>
    </row>
    <row r="162" spans="1:13">
      <c r="A162" s="45"/>
      <c r="B162" s="45"/>
      <c r="C162" s="45"/>
      <c r="D162" s="45"/>
      <c r="E162" s="45"/>
      <c r="F162" s="45"/>
      <c r="G162" s="45"/>
      <c r="H162" s="45"/>
      <c r="L162" s="16"/>
      <c r="M162" s="16"/>
    </row>
    <row r="163" spans="1:13">
      <c r="A163" s="45"/>
      <c r="B163" s="45"/>
      <c r="C163" s="45"/>
      <c r="D163" s="45"/>
      <c r="E163" s="45"/>
      <c r="F163" s="45"/>
      <c r="G163" s="45"/>
      <c r="H163" s="45"/>
      <c r="L163" s="16"/>
      <c r="M163" s="16"/>
    </row>
    <row r="164" spans="1:13">
      <c r="A164" s="45"/>
      <c r="B164" s="45"/>
      <c r="C164" s="45"/>
      <c r="D164" s="45"/>
      <c r="E164" s="45"/>
      <c r="F164" s="45"/>
      <c r="G164" s="45"/>
      <c r="H164" s="45"/>
      <c r="L164" s="16"/>
      <c r="M164" s="16"/>
    </row>
    <row r="165" spans="1:13">
      <c r="A165" s="45"/>
      <c r="B165" s="45"/>
      <c r="C165" s="45"/>
      <c r="D165" s="45"/>
      <c r="E165" s="45"/>
      <c r="F165" s="45"/>
      <c r="G165" s="45"/>
      <c r="H165" s="45"/>
      <c r="L165" s="16"/>
      <c r="M165" s="16"/>
    </row>
    <row r="166" spans="1:13">
      <c r="A166" s="45"/>
      <c r="B166" s="45"/>
      <c r="C166" s="45"/>
      <c r="D166" s="45"/>
      <c r="E166" s="45"/>
      <c r="F166" s="45"/>
      <c r="G166" s="45"/>
      <c r="H166" s="45"/>
      <c r="L166" s="16"/>
      <c r="M166" s="16"/>
    </row>
    <row r="167" spans="1:13">
      <c r="A167" s="45"/>
      <c r="B167" s="45"/>
      <c r="C167" s="45"/>
      <c r="D167" s="45"/>
      <c r="E167" s="45"/>
      <c r="F167" s="45"/>
      <c r="G167" s="45"/>
      <c r="H167" s="45"/>
      <c r="L167" s="16"/>
      <c r="M167" s="16"/>
    </row>
    <row r="168" spans="1:13">
      <c r="A168" s="45"/>
      <c r="B168" s="45"/>
      <c r="C168" s="45"/>
      <c r="D168" s="45"/>
      <c r="E168" s="45"/>
      <c r="F168" s="45"/>
      <c r="G168" s="45"/>
      <c r="H168" s="45"/>
      <c r="L168" s="16"/>
      <c r="M168" s="16"/>
    </row>
    <row r="169" spans="1:13">
      <c r="A169" s="45"/>
      <c r="B169" s="45"/>
      <c r="C169" s="45"/>
      <c r="D169" s="45"/>
      <c r="E169" s="45"/>
      <c r="F169" s="45"/>
      <c r="G169" s="45"/>
      <c r="H169" s="45"/>
      <c r="L169" s="16"/>
      <c r="M169" s="16"/>
    </row>
    <row r="170" spans="1:13">
      <c r="A170" s="45"/>
      <c r="B170" s="45"/>
      <c r="C170" s="45"/>
      <c r="D170" s="45"/>
      <c r="E170" s="45"/>
      <c r="F170" s="45"/>
      <c r="G170" s="45"/>
      <c r="H170" s="45"/>
      <c r="L170" s="16"/>
      <c r="M170" s="16"/>
    </row>
    <row r="171" spans="1:13">
      <c r="A171" s="45"/>
      <c r="B171" s="45"/>
      <c r="C171" s="45"/>
      <c r="D171" s="45"/>
      <c r="E171" s="45"/>
      <c r="F171" s="45"/>
      <c r="G171" s="45"/>
      <c r="H171" s="45"/>
      <c r="L171" s="16"/>
      <c r="M171" s="16"/>
    </row>
    <row r="172" spans="1:13">
      <c r="A172" s="45"/>
      <c r="B172" s="45"/>
      <c r="C172" s="45"/>
      <c r="D172" s="45"/>
      <c r="E172" s="45"/>
      <c r="F172" s="45"/>
      <c r="G172" s="45"/>
      <c r="H172" s="45"/>
      <c r="L172" s="16"/>
      <c r="M172" s="16"/>
    </row>
    <row r="173" spans="1:13">
      <c r="A173" s="45"/>
      <c r="B173" s="45"/>
      <c r="C173" s="45"/>
      <c r="D173" s="45"/>
      <c r="E173" s="45"/>
      <c r="F173" s="45"/>
      <c r="G173" s="45"/>
      <c r="H173" s="45"/>
      <c r="L173" s="16"/>
      <c r="M173" s="16"/>
    </row>
    <row r="174" spans="1:13">
      <c r="A174" s="45"/>
      <c r="B174" s="45"/>
      <c r="C174" s="45"/>
      <c r="D174" s="45"/>
      <c r="E174" s="45"/>
      <c r="F174" s="45"/>
      <c r="G174" s="45"/>
      <c r="H174" s="45"/>
      <c r="L174" s="16"/>
      <c r="M174" s="16"/>
    </row>
    <row r="175" spans="1:13">
      <c r="A175" s="45"/>
      <c r="B175" s="45"/>
      <c r="C175" s="45"/>
      <c r="D175" s="45"/>
      <c r="E175" s="45"/>
      <c r="F175" s="45"/>
      <c r="G175" s="45"/>
      <c r="H175" s="45"/>
      <c r="L175" s="16"/>
      <c r="M175" s="16"/>
    </row>
    <row r="176" spans="1:13">
      <c r="A176" s="45"/>
      <c r="B176" s="45"/>
      <c r="C176" s="45"/>
      <c r="D176" s="45"/>
      <c r="E176" s="45"/>
      <c r="F176" s="45"/>
      <c r="G176" s="45"/>
      <c r="H176" s="45"/>
      <c r="L176" s="16"/>
      <c r="M176" s="16"/>
    </row>
    <row r="177" spans="1:13">
      <c r="A177" s="45"/>
      <c r="B177" s="45"/>
      <c r="C177" s="45"/>
      <c r="D177" s="45"/>
      <c r="E177" s="45"/>
      <c r="F177" s="45"/>
      <c r="G177" s="45"/>
      <c r="H177" s="45"/>
      <c r="L177" s="16"/>
      <c r="M177" s="16"/>
    </row>
    <row r="178" spans="1:13">
      <c r="A178" s="45"/>
      <c r="B178" s="45"/>
      <c r="C178" s="45"/>
      <c r="D178" s="45"/>
      <c r="E178" s="45"/>
      <c r="F178" s="45"/>
      <c r="G178" s="45"/>
      <c r="H178" s="45"/>
      <c r="L178" s="16"/>
      <c r="M178" s="16"/>
    </row>
    <row r="179" spans="1:13">
      <c r="A179" s="45"/>
      <c r="B179" s="45"/>
      <c r="C179" s="45"/>
      <c r="D179" s="45"/>
      <c r="E179" s="45"/>
      <c r="F179" s="45"/>
      <c r="G179" s="45"/>
      <c r="H179" s="45"/>
      <c r="L179" s="16"/>
      <c r="M179" s="16"/>
    </row>
    <row r="180" spans="1:13">
      <c r="A180" s="45"/>
      <c r="B180" s="45"/>
      <c r="C180" s="45"/>
      <c r="D180" s="45"/>
      <c r="E180" s="45"/>
      <c r="F180" s="45"/>
      <c r="G180" s="45"/>
      <c r="H180" s="45"/>
      <c r="L180" s="16"/>
      <c r="M180" s="16"/>
    </row>
    <row r="181" spans="1:13">
      <c r="A181" s="45"/>
      <c r="B181" s="45"/>
      <c r="C181" s="45"/>
      <c r="D181" s="45"/>
      <c r="E181" s="45"/>
      <c r="F181" s="45"/>
      <c r="G181" s="45"/>
      <c r="H181" s="45"/>
      <c r="L181" s="16"/>
      <c r="M181" s="16"/>
    </row>
    <row r="182" spans="1:13">
      <c r="A182" s="45"/>
      <c r="B182" s="45"/>
      <c r="C182" s="45"/>
      <c r="D182" s="45"/>
      <c r="E182" s="45"/>
      <c r="F182" s="45"/>
      <c r="G182" s="45"/>
      <c r="H182" s="45"/>
      <c r="L182" s="16"/>
      <c r="M182" s="16"/>
    </row>
    <row r="183" spans="1:13">
      <c r="A183" s="45"/>
      <c r="B183" s="45"/>
      <c r="C183" s="45"/>
      <c r="D183" s="45"/>
      <c r="E183" s="45"/>
      <c r="F183" s="45"/>
      <c r="G183" s="45"/>
      <c r="H183" s="45"/>
      <c r="L183" s="16"/>
      <c r="M183" s="16"/>
    </row>
    <row r="184" spans="1:13">
      <c r="A184" s="45"/>
      <c r="B184" s="45"/>
      <c r="C184" s="45"/>
      <c r="D184" s="45"/>
      <c r="E184" s="45"/>
      <c r="F184" s="45"/>
      <c r="G184" s="45"/>
      <c r="H184" s="45"/>
      <c r="L184" s="16"/>
      <c r="M184" s="16"/>
    </row>
    <row r="185" spans="1:13">
      <c r="A185" s="45"/>
      <c r="B185" s="45"/>
      <c r="C185" s="45"/>
      <c r="D185" s="45"/>
      <c r="E185" s="45"/>
      <c r="F185" s="45"/>
      <c r="G185" s="45"/>
      <c r="H185" s="45"/>
      <c r="L185" s="16"/>
      <c r="M185" s="16"/>
    </row>
    <row r="186" spans="1:13">
      <c r="A186" s="45"/>
      <c r="B186" s="45"/>
      <c r="C186" s="45"/>
      <c r="D186" s="45"/>
      <c r="E186" s="45"/>
      <c r="F186" s="45"/>
      <c r="G186" s="45"/>
      <c r="H186" s="45"/>
      <c r="L186" s="16"/>
      <c r="M186" s="16"/>
    </row>
    <row r="187" spans="1:13">
      <c r="A187" s="45"/>
      <c r="B187" s="45"/>
      <c r="C187" s="45"/>
      <c r="D187" s="45"/>
      <c r="E187" s="45"/>
      <c r="F187" s="45"/>
      <c r="G187" s="45"/>
      <c r="H187" s="45"/>
      <c r="L187" s="16"/>
      <c r="M187" s="16"/>
    </row>
    <row r="188" spans="1:13">
      <c r="A188" s="45"/>
      <c r="B188" s="45"/>
      <c r="C188" s="45"/>
      <c r="D188" s="45"/>
      <c r="E188" s="45"/>
      <c r="F188" s="45"/>
      <c r="G188" s="45"/>
      <c r="H188" s="45"/>
      <c r="L188" s="16"/>
      <c r="M188" s="16"/>
    </row>
    <row r="189" spans="1:13">
      <c r="A189" s="45"/>
      <c r="B189" s="45"/>
      <c r="C189" s="45"/>
      <c r="D189" s="45"/>
      <c r="E189" s="45"/>
      <c r="F189" s="45"/>
      <c r="G189" s="45"/>
      <c r="H189" s="45"/>
      <c r="L189" s="16"/>
      <c r="M189" s="16"/>
    </row>
    <row r="190" spans="1:13">
      <c r="A190" s="45"/>
      <c r="B190" s="45"/>
      <c r="C190" s="45"/>
      <c r="D190" s="45"/>
      <c r="E190" s="45"/>
      <c r="F190" s="45"/>
      <c r="G190" s="45"/>
      <c r="H190" s="45"/>
      <c r="L190" s="16"/>
      <c r="M190" s="16"/>
    </row>
    <row r="191" spans="1:13">
      <c r="A191" s="45"/>
      <c r="B191" s="45"/>
      <c r="C191" s="45"/>
      <c r="D191" s="45"/>
      <c r="E191" s="45"/>
      <c r="F191" s="45"/>
      <c r="G191" s="45"/>
      <c r="H191" s="45"/>
      <c r="L191" s="16"/>
      <c r="M191" s="16"/>
    </row>
    <row r="192" spans="1:13">
      <c r="A192" s="45"/>
      <c r="B192" s="45"/>
      <c r="C192" s="45"/>
      <c r="D192" s="45"/>
      <c r="E192" s="45"/>
      <c r="F192" s="45"/>
      <c r="G192" s="45"/>
      <c r="H192" s="45"/>
      <c r="L192" s="16"/>
      <c r="M192" s="16"/>
    </row>
    <row r="193" spans="1:13">
      <c r="A193" s="45"/>
      <c r="B193" s="45"/>
      <c r="C193" s="45"/>
      <c r="D193" s="45"/>
      <c r="E193" s="45"/>
      <c r="F193" s="45"/>
      <c r="G193" s="45"/>
      <c r="H193" s="45"/>
      <c r="L193" s="16"/>
      <c r="M193" s="16"/>
    </row>
    <row r="194" spans="1:13">
      <c r="A194" s="45"/>
      <c r="B194" s="45"/>
      <c r="C194" s="45"/>
      <c r="D194" s="45"/>
      <c r="E194" s="45"/>
      <c r="F194" s="45"/>
      <c r="G194" s="45"/>
      <c r="H194" s="45"/>
      <c r="L194" s="16"/>
      <c r="M194" s="16"/>
    </row>
    <row r="195" spans="1:13">
      <c r="A195" s="45"/>
      <c r="B195" s="45"/>
      <c r="C195" s="45"/>
      <c r="D195" s="45"/>
      <c r="E195" s="45"/>
      <c r="F195" s="45"/>
      <c r="G195" s="45"/>
      <c r="H195" s="45"/>
      <c r="L195" s="16"/>
      <c r="M195" s="16"/>
    </row>
    <row r="196" spans="1:13">
      <c r="A196" s="45"/>
      <c r="B196" s="45"/>
      <c r="C196" s="45"/>
      <c r="D196" s="45"/>
      <c r="E196" s="45"/>
      <c r="F196" s="45"/>
      <c r="G196" s="45"/>
      <c r="H196" s="45"/>
      <c r="L196" s="16"/>
      <c r="M196" s="16"/>
    </row>
    <row r="197" spans="1:13">
      <c r="A197" s="45"/>
      <c r="B197" s="45"/>
      <c r="C197" s="45"/>
      <c r="D197" s="45"/>
      <c r="E197" s="45"/>
      <c r="F197" s="45"/>
      <c r="G197" s="45"/>
      <c r="H197" s="45"/>
      <c r="L197" s="16"/>
      <c r="M197" s="16"/>
    </row>
    <row r="198" spans="1:13">
      <c r="A198" s="45"/>
      <c r="B198" s="45"/>
      <c r="C198" s="45"/>
      <c r="D198" s="45"/>
      <c r="E198" s="45"/>
      <c r="F198" s="45"/>
      <c r="G198" s="45"/>
      <c r="H198" s="45"/>
      <c r="L198" s="16"/>
      <c r="M198" s="16"/>
    </row>
    <row r="199" spans="1:13">
      <c r="A199" s="45"/>
      <c r="B199" s="45"/>
      <c r="C199" s="45"/>
      <c r="D199" s="45"/>
      <c r="E199" s="45"/>
      <c r="F199" s="45"/>
      <c r="G199" s="45"/>
      <c r="H199" s="45"/>
      <c r="L199" s="16"/>
      <c r="M199" s="16"/>
    </row>
    <row r="200" spans="1:13">
      <c r="A200" s="45"/>
      <c r="B200" s="45"/>
      <c r="C200" s="45"/>
      <c r="D200" s="45"/>
      <c r="E200" s="45"/>
      <c r="F200" s="45"/>
      <c r="G200" s="45"/>
      <c r="H200" s="45"/>
      <c r="L200" s="16"/>
      <c r="M200" s="16"/>
    </row>
    <row r="201" spans="1:13">
      <c r="A201" s="45"/>
      <c r="B201" s="45"/>
      <c r="C201" s="45"/>
      <c r="D201" s="45"/>
      <c r="E201" s="45"/>
      <c r="F201" s="45"/>
      <c r="G201" s="45"/>
      <c r="H201" s="45"/>
      <c r="L201" s="16"/>
      <c r="M201" s="16"/>
    </row>
    <row r="202" spans="1:13">
      <c r="A202" s="45"/>
      <c r="B202" s="45"/>
      <c r="C202" s="45"/>
      <c r="D202" s="45"/>
      <c r="E202" s="45"/>
      <c r="F202" s="45"/>
      <c r="G202" s="45"/>
      <c r="H202" s="45"/>
      <c r="L202" s="16"/>
      <c r="M202" s="16"/>
    </row>
    <row r="203" spans="1:13">
      <c r="A203" s="45"/>
      <c r="B203" s="45"/>
      <c r="C203" s="45"/>
      <c r="D203" s="45"/>
      <c r="E203" s="45"/>
      <c r="F203" s="45"/>
      <c r="G203" s="45"/>
      <c r="H203" s="45"/>
      <c r="L203" s="16"/>
      <c r="M203" s="16"/>
    </row>
    <row r="204" spans="1:13">
      <c r="A204" s="45"/>
      <c r="B204" s="45"/>
      <c r="C204" s="45"/>
      <c r="D204" s="45"/>
      <c r="E204" s="45"/>
      <c r="F204" s="45"/>
      <c r="G204" s="45"/>
      <c r="H204" s="45"/>
      <c r="L204" s="16"/>
      <c r="M204" s="16"/>
    </row>
    <row r="205" spans="1:13">
      <c r="A205" s="45"/>
      <c r="B205" s="45"/>
      <c r="C205" s="45"/>
      <c r="D205" s="45"/>
      <c r="E205" s="45"/>
      <c r="F205" s="45"/>
      <c r="G205" s="45"/>
      <c r="H205" s="45"/>
      <c r="L205" s="16"/>
      <c r="M205" s="16"/>
    </row>
    <row r="206" spans="1:13">
      <c r="A206" s="45"/>
      <c r="B206" s="45"/>
      <c r="C206" s="45"/>
      <c r="D206" s="45"/>
      <c r="E206" s="45"/>
      <c r="F206" s="45"/>
      <c r="G206" s="45"/>
      <c r="H206" s="45"/>
      <c r="L206" s="16"/>
      <c r="M206" s="16"/>
    </row>
    <row r="207" spans="1:13">
      <c r="A207" s="45"/>
      <c r="B207" s="45"/>
      <c r="C207" s="45"/>
      <c r="D207" s="45"/>
      <c r="E207" s="45"/>
      <c r="F207" s="45"/>
      <c r="G207" s="45"/>
      <c r="H207" s="45"/>
      <c r="L207" s="16"/>
      <c r="M207" s="16"/>
    </row>
    <row r="208" spans="1:13">
      <c r="A208" s="45"/>
      <c r="B208" s="45"/>
      <c r="C208" s="45"/>
      <c r="D208" s="45"/>
      <c r="E208" s="45"/>
      <c r="F208" s="45"/>
      <c r="G208" s="45"/>
      <c r="H208" s="45"/>
      <c r="L208" s="16"/>
      <c r="M208" s="16"/>
    </row>
    <row r="209" spans="1:13">
      <c r="A209" s="45"/>
      <c r="B209" s="45"/>
      <c r="C209" s="45"/>
      <c r="D209" s="45"/>
      <c r="E209" s="45"/>
      <c r="F209" s="45"/>
      <c r="G209" s="45"/>
      <c r="H209" s="45"/>
      <c r="L209" s="16"/>
      <c r="M209" s="16"/>
    </row>
    <row r="210" spans="1:13">
      <c r="A210" s="45"/>
      <c r="B210" s="45"/>
      <c r="C210" s="45"/>
      <c r="D210" s="45"/>
      <c r="E210" s="45"/>
      <c r="F210" s="45"/>
      <c r="G210" s="45"/>
      <c r="H210" s="45"/>
      <c r="L210" s="16"/>
      <c r="M210" s="16"/>
    </row>
    <row r="211" spans="1:13">
      <c r="A211" s="45"/>
      <c r="B211" s="45"/>
      <c r="C211" s="45"/>
      <c r="D211" s="45"/>
      <c r="E211" s="45"/>
      <c r="F211" s="45"/>
      <c r="G211" s="45"/>
      <c r="H211" s="45"/>
      <c r="L211" s="16"/>
      <c r="M211" s="16"/>
    </row>
    <row r="212" spans="1:13">
      <c r="A212" s="45"/>
      <c r="B212" s="45"/>
      <c r="C212" s="45"/>
      <c r="D212" s="45"/>
      <c r="E212" s="45"/>
      <c r="F212" s="45"/>
      <c r="G212" s="45"/>
      <c r="H212" s="45"/>
      <c r="L212" s="16"/>
      <c r="M212" s="16"/>
    </row>
    <row r="213" spans="1:13">
      <c r="A213" s="45"/>
      <c r="B213" s="45"/>
      <c r="C213" s="45"/>
      <c r="D213" s="45"/>
      <c r="E213" s="45"/>
      <c r="F213" s="45"/>
      <c r="G213" s="45"/>
      <c r="H213" s="45"/>
      <c r="L213" s="16"/>
      <c r="M213" s="16"/>
    </row>
    <row r="214" spans="1:13">
      <c r="A214" s="45"/>
      <c r="B214" s="45"/>
      <c r="C214" s="45"/>
      <c r="D214" s="45"/>
      <c r="E214" s="45"/>
      <c r="F214" s="45"/>
      <c r="G214" s="45"/>
      <c r="H214" s="45"/>
      <c r="L214" s="16"/>
      <c r="M214" s="16"/>
    </row>
    <row r="215" spans="1:13">
      <c r="A215" s="45"/>
      <c r="B215" s="45"/>
      <c r="C215" s="45"/>
      <c r="D215" s="45"/>
      <c r="E215" s="45"/>
      <c r="F215" s="45"/>
      <c r="G215" s="45"/>
      <c r="H215" s="45"/>
      <c r="L215" s="16"/>
      <c r="M215" s="16"/>
    </row>
    <row r="216" spans="1:13">
      <c r="A216" s="45"/>
      <c r="B216" s="45"/>
      <c r="C216" s="45"/>
      <c r="D216" s="45"/>
      <c r="E216" s="45"/>
      <c r="F216" s="45"/>
      <c r="G216" s="45"/>
      <c r="H216" s="45"/>
      <c r="L216" s="16"/>
      <c r="M216" s="16"/>
    </row>
    <row r="217" spans="1:13">
      <c r="A217" s="45"/>
      <c r="B217" s="45"/>
      <c r="C217" s="45"/>
      <c r="D217" s="45"/>
      <c r="E217" s="45"/>
      <c r="F217" s="45"/>
      <c r="G217" s="45"/>
      <c r="H217" s="45"/>
      <c r="L217" s="16"/>
      <c r="M217" s="16"/>
    </row>
    <row r="218" spans="1:13">
      <c r="A218" s="45"/>
      <c r="B218" s="45"/>
      <c r="C218" s="45"/>
      <c r="D218" s="45"/>
      <c r="E218" s="45"/>
      <c r="F218" s="45"/>
      <c r="G218" s="45"/>
      <c r="H218" s="45"/>
      <c r="L218" s="16"/>
      <c r="M218" s="16"/>
    </row>
    <row r="219" spans="1:13">
      <c r="A219" s="45"/>
      <c r="B219" s="45"/>
      <c r="C219" s="45"/>
      <c r="D219" s="45"/>
      <c r="E219" s="45"/>
      <c r="F219" s="45"/>
      <c r="G219" s="45"/>
      <c r="H219" s="45"/>
      <c r="L219" s="16"/>
      <c r="M219" s="16"/>
    </row>
    <row r="220" spans="1:13">
      <c r="A220" s="45"/>
      <c r="B220" s="45"/>
      <c r="C220" s="45"/>
      <c r="D220" s="45"/>
      <c r="E220" s="45"/>
      <c r="F220" s="45"/>
      <c r="G220" s="45"/>
      <c r="H220" s="45"/>
      <c r="L220" s="16"/>
      <c r="M220" s="16"/>
    </row>
    <row r="221" spans="1:13">
      <c r="A221" s="45"/>
      <c r="B221" s="45"/>
      <c r="C221" s="45"/>
      <c r="D221" s="45"/>
      <c r="E221" s="45"/>
      <c r="F221" s="45"/>
      <c r="G221" s="45"/>
      <c r="H221" s="45"/>
      <c r="L221" s="16"/>
      <c r="M221" s="16"/>
    </row>
    <row r="222" spans="1:13">
      <c r="A222" s="45"/>
      <c r="B222" s="45"/>
      <c r="C222" s="45"/>
      <c r="D222" s="45"/>
      <c r="E222" s="45"/>
      <c r="F222" s="45"/>
      <c r="G222" s="45"/>
      <c r="H222" s="45"/>
      <c r="L222" s="16"/>
      <c r="M222" s="16"/>
    </row>
    <row r="223" spans="1:13">
      <c r="A223" s="45"/>
      <c r="B223" s="45"/>
      <c r="C223" s="45"/>
      <c r="D223" s="45"/>
      <c r="E223" s="45"/>
      <c r="F223" s="45"/>
      <c r="G223" s="45"/>
      <c r="H223" s="45"/>
      <c r="L223" s="16"/>
      <c r="M223" s="16"/>
    </row>
    <row r="224" spans="1:13">
      <c r="A224" s="45"/>
      <c r="B224" s="45"/>
      <c r="C224" s="45"/>
      <c r="D224" s="45"/>
      <c r="E224" s="45"/>
      <c r="F224" s="45"/>
      <c r="G224" s="45"/>
      <c r="H224" s="45"/>
      <c r="L224" s="16"/>
      <c r="M224" s="16"/>
    </row>
    <row r="225" spans="1:13">
      <c r="A225" s="45"/>
      <c r="B225" s="45"/>
      <c r="C225" s="45"/>
      <c r="D225" s="45"/>
      <c r="E225" s="45"/>
      <c r="F225" s="45"/>
      <c r="G225" s="45"/>
      <c r="H225" s="45"/>
      <c r="L225" s="16"/>
      <c r="M225" s="16"/>
    </row>
    <row r="226" spans="1:13">
      <c r="A226" s="45"/>
      <c r="B226" s="45"/>
      <c r="C226" s="45"/>
      <c r="D226" s="45"/>
      <c r="E226" s="45"/>
      <c r="F226" s="45"/>
      <c r="G226" s="45"/>
      <c r="H226" s="45"/>
      <c r="L226" s="16"/>
      <c r="M226" s="16"/>
    </row>
    <row r="227" spans="1:13">
      <c r="A227" s="45"/>
      <c r="B227" s="45"/>
      <c r="C227" s="45"/>
      <c r="D227" s="45"/>
      <c r="E227" s="45"/>
      <c r="F227" s="45"/>
      <c r="G227" s="45"/>
      <c r="H227" s="45"/>
      <c r="L227" s="16"/>
      <c r="M227" s="16"/>
    </row>
    <row r="228" spans="1:13">
      <c r="A228" s="45"/>
      <c r="B228" s="45"/>
      <c r="C228" s="45"/>
      <c r="D228" s="45"/>
      <c r="E228" s="45"/>
      <c r="F228" s="45"/>
      <c r="G228" s="45"/>
      <c r="H228" s="45"/>
      <c r="L228" s="16"/>
      <c r="M228" s="16"/>
    </row>
    <row r="229" spans="1:13">
      <c r="A229" s="45"/>
      <c r="B229" s="45"/>
      <c r="C229" s="45"/>
      <c r="D229" s="45"/>
      <c r="E229" s="45"/>
      <c r="F229" s="45"/>
      <c r="G229" s="45"/>
      <c r="H229" s="45"/>
      <c r="L229" s="16"/>
      <c r="M229" s="16"/>
    </row>
    <row r="230" spans="1:13">
      <c r="A230" s="45"/>
      <c r="B230" s="45"/>
      <c r="C230" s="45"/>
      <c r="D230" s="45"/>
      <c r="E230" s="45"/>
      <c r="F230" s="45"/>
      <c r="G230" s="45"/>
      <c r="H230" s="45"/>
      <c r="L230" s="16"/>
      <c r="M230" s="16"/>
    </row>
    <row r="231" spans="1:13">
      <c r="A231" s="45"/>
      <c r="B231" s="45"/>
      <c r="C231" s="45"/>
      <c r="D231" s="45"/>
      <c r="E231" s="45"/>
      <c r="F231" s="45"/>
      <c r="G231" s="45"/>
      <c r="H231" s="45"/>
      <c r="L231" s="16"/>
      <c r="M231" s="16"/>
    </row>
    <row r="232" spans="1:13">
      <c r="A232" s="45"/>
      <c r="B232" s="45"/>
      <c r="C232" s="45"/>
      <c r="D232" s="45"/>
      <c r="E232" s="45"/>
      <c r="F232" s="45"/>
      <c r="G232" s="45"/>
      <c r="H232" s="45"/>
      <c r="L232" s="16"/>
      <c r="M232" s="16"/>
    </row>
    <row r="233" spans="1:13">
      <c r="A233" s="45"/>
      <c r="B233" s="45"/>
      <c r="C233" s="45"/>
      <c r="D233" s="45"/>
      <c r="E233" s="45"/>
      <c r="F233" s="45"/>
      <c r="G233" s="45"/>
      <c r="H233" s="45"/>
      <c r="L233" s="16"/>
      <c r="M233" s="16"/>
    </row>
    <row r="234" spans="1:13">
      <c r="A234" s="45"/>
      <c r="B234" s="45"/>
      <c r="C234" s="45"/>
      <c r="D234" s="45"/>
      <c r="E234" s="45"/>
      <c r="F234" s="45"/>
      <c r="G234" s="45"/>
      <c r="H234" s="45"/>
      <c r="L234" s="16"/>
      <c r="M234" s="16"/>
    </row>
    <row r="235" spans="1:13">
      <c r="A235" s="45"/>
      <c r="B235" s="45"/>
      <c r="C235" s="45"/>
      <c r="D235" s="45"/>
      <c r="E235" s="45"/>
      <c r="F235" s="45"/>
      <c r="G235" s="45"/>
      <c r="H235" s="45"/>
      <c r="L235" s="16"/>
      <c r="M235" s="16"/>
    </row>
    <row r="236" spans="1:13">
      <c r="A236" s="45"/>
      <c r="B236" s="45"/>
      <c r="C236" s="45"/>
      <c r="D236" s="45"/>
      <c r="E236" s="45"/>
      <c r="F236" s="45"/>
      <c r="G236" s="45"/>
      <c r="H236" s="45"/>
      <c r="L236" s="16"/>
      <c r="M236" s="16"/>
    </row>
    <row r="237" spans="1:13">
      <c r="A237" s="45"/>
      <c r="B237" s="45"/>
      <c r="C237" s="45"/>
      <c r="D237" s="45"/>
      <c r="E237" s="45"/>
      <c r="F237" s="45"/>
      <c r="G237" s="45"/>
      <c r="H237" s="45"/>
      <c r="L237" s="16"/>
      <c r="M237" s="16"/>
    </row>
    <row r="238" spans="1:13">
      <c r="A238" s="45"/>
      <c r="B238" s="45"/>
      <c r="C238" s="45"/>
      <c r="D238" s="45"/>
      <c r="E238" s="45"/>
      <c r="F238" s="45"/>
      <c r="G238" s="45"/>
      <c r="H238" s="45"/>
      <c r="L238" s="16"/>
      <c r="M238" s="16"/>
    </row>
    <row r="239" spans="1:13">
      <c r="A239" s="45"/>
      <c r="B239" s="45"/>
      <c r="C239" s="45"/>
      <c r="D239" s="45"/>
      <c r="E239" s="45"/>
      <c r="F239" s="45"/>
      <c r="G239" s="45"/>
      <c r="H239" s="45"/>
      <c r="L239" s="16"/>
      <c r="M239" s="16"/>
    </row>
    <row r="240" spans="1:13">
      <c r="A240" s="45"/>
      <c r="B240" s="45"/>
      <c r="C240" s="45"/>
      <c r="D240" s="45"/>
      <c r="E240" s="45"/>
      <c r="F240" s="45"/>
      <c r="G240" s="45"/>
      <c r="H240" s="45"/>
      <c r="L240" s="16"/>
      <c r="M240" s="16"/>
    </row>
    <row r="241" spans="1:13">
      <c r="A241" s="45"/>
      <c r="B241" s="45"/>
      <c r="C241" s="45"/>
      <c r="D241" s="45"/>
      <c r="E241" s="45"/>
      <c r="F241" s="45"/>
      <c r="G241" s="45"/>
      <c r="H241" s="45"/>
      <c r="L241" s="16"/>
      <c r="M241" s="16"/>
    </row>
    <row r="242" spans="1:13">
      <c r="A242" s="45"/>
      <c r="B242" s="45"/>
      <c r="C242" s="45"/>
      <c r="D242" s="45"/>
      <c r="E242" s="45"/>
      <c r="F242" s="45"/>
      <c r="G242" s="45"/>
      <c r="H242" s="45"/>
      <c r="L242" s="16"/>
      <c r="M242" s="16"/>
    </row>
    <row r="243" spans="1:13">
      <c r="A243" s="45"/>
      <c r="B243" s="45"/>
      <c r="C243" s="45"/>
      <c r="D243" s="45"/>
      <c r="E243" s="45"/>
      <c r="F243" s="45"/>
      <c r="G243" s="45"/>
      <c r="H243" s="45"/>
      <c r="L243" s="16"/>
      <c r="M243" s="16"/>
    </row>
    <row r="244" spans="1:13">
      <c r="A244" s="45"/>
      <c r="B244" s="45"/>
      <c r="C244" s="45"/>
      <c r="D244" s="45"/>
      <c r="E244" s="45"/>
      <c r="F244" s="45"/>
      <c r="G244" s="45"/>
      <c r="H244" s="45"/>
      <c r="L244" s="16"/>
      <c r="M244" s="16"/>
    </row>
    <row r="245" spans="1:13">
      <c r="A245" s="45"/>
      <c r="B245" s="45"/>
      <c r="C245" s="45"/>
      <c r="D245" s="45"/>
      <c r="E245" s="45"/>
      <c r="F245" s="45"/>
      <c r="G245" s="45"/>
      <c r="H245" s="45"/>
      <c r="L245" s="16"/>
      <c r="M245" s="16"/>
    </row>
    <row r="246" spans="1:13">
      <c r="A246" s="45"/>
      <c r="B246" s="45"/>
      <c r="C246" s="45"/>
      <c r="D246" s="45"/>
      <c r="E246" s="45"/>
      <c r="F246" s="45"/>
      <c r="G246" s="45"/>
      <c r="H246" s="45"/>
      <c r="L246" s="16"/>
      <c r="M246" s="16"/>
    </row>
    <row r="247" spans="1:13">
      <c r="A247" s="45"/>
      <c r="B247" s="45"/>
      <c r="C247" s="45"/>
      <c r="D247" s="45"/>
      <c r="E247" s="45"/>
      <c r="F247" s="45"/>
      <c r="G247" s="45"/>
      <c r="H247" s="45"/>
      <c r="L247" s="16"/>
      <c r="M247" s="16"/>
    </row>
    <row r="248" spans="1:13">
      <c r="A248" s="45"/>
      <c r="B248" s="45"/>
      <c r="C248" s="45"/>
      <c r="D248" s="45"/>
      <c r="E248" s="45"/>
      <c r="F248" s="45"/>
      <c r="G248" s="45"/>
      <c r="H248" s="45"/>
      <c r="L248" s="16"/>
      <c r="M248" s="16"/>
    </row>
    <row r="249" spans="1:13">
      <c r="A249" s="45"/>
      <c r="B249" s="45"/>
      <c r="C249" s="45"/>
      <c r="D249" s="45"/>
      <c r="E249" s="45"/>
      <c r="F249" s="45"/>
      <c r="G249" s="45"/>
      <c r="H249" s="45"/>
      <c r="L249" s="16"/>
      <c r="M249" s="16"/>
    </row>
    <row r="250" spans="1:13">
      <c r="A250" s="45"/>
      <c r="B250" s="45"/>
      <c r="C250" s="45"/>
      <c r="D250" s="45"/>
      <c r="E250" s="45"/>
      <c r="F250" s="45"/>
      <c r="G250" s="45"/>
      <c r="H250" s="45"/>
      <c r="L250" s="16"/>
      <c r="M250" s="16"/>
    </row>
    <row r="251" spans="1:13">
      <c r="A251" s="45"/>
      <c r="B251" s="45"/>
      <c r="C251" s="45"/>
      <c r="D251" s="45"/>
      <c r="E251" s="45"/>
      <c r="F251" s="45"/>
      <c r="G251" s="45"/>
      <c r="H251" s="45"/>
      <c r="L251" s="16"/>
      <c r="M251" s="16"/>
    </row>
    <row r="252" spans="1:13">
      <c r="A252" s="45"/>
      <c r="B252" s="45"/>
      <c r="C252" s="45"/>
      <c r="D252" s="45"/>
      <c r="E252" s="45"/>
      <c r="F252" s="45"/>
      <c r="G252" s="45"/>
      <c r="H252" s="45"/>
      <c r="L252" s="16"/>
      <c r="M252" s="16"/>
    </row>
    <row r="253" spans="1:13">
      <c r="A253" s="45"/>
      <c r="B253" s="45"/>
      <c r="C253" s="45"/>
      <c r="D253" s="45"/>
      <c r="E253" s="45"/>
      <c r="F253" s="45"/>
      <c r="G253" s="45"/>
      <c r="H253" s="45"/>
      <c r="L253" s="16"/>
      <c r="M253" s="16"/>
    </row>
    <row r="254" spans="1:13">
      <c r="A254" s="45"/>
      <c r="B254" s="45"/>
      <c r="C254" s="45"/>
      <c r="D254" s="45"/>
      <c r="E254" s="45"/>
      <c r="F254" s="45"/>
      <c r="G254" s="45"/>
      <c r="H254" s="45"/>
      <c r="L254" s="16"/>
      <c r="M254" s="16"/>
    </row>
    <row r="255" spans="1:13">
      <c r="A255" s="45"/>
      <c r="B255" s="45"/>
      <c r="C255" s="45"/>
      <c r="D255" s="45"/>
      <c r="E255" s="45"/>
      <c r="F255" s="45"/>
      <c r="G255" s="45"/>
      <c r="H255" s="45"/>
      <c r="L255" s="16"/>
      <c r="M255" s="16"/>
    </row>
    <row r="256" spans="1:13">
      <c r="A256" s="45"/>
      <c r="B256" s="45"/>
      <c r="C256" s="45"/>
      <c r="D256" s="45"/>
      <c r="E256" s="45"/>
      <c r="F256" s="45"/>
      <c r="G256" s="45"/>
      <c r="H256" s="45"/>
      <c r="L256" s="16"/>
      <c r="M256" s="16"/>
    </row>
    <row r="257" spans="1:13">
      <c r="A257" s="45"/>
      <c r="B257" s="45"/>
      <c r="C257" s="45"/>
      <c r="D257" s="45"/>
      <c r="E257" s="45"/>
      <c r="F257" s="45"/>
      <c r="G257" s="45"/>
      <c r="H257" s="45"/>
      <c r="L257" s="16"/>
      <c r="M257" s="16"/>
    </row>
    <row r="258" spans="1:13">
      <c r="A258" s="45"/>
      <c r="B258" s="45"/>
      <c r="C258" s="45"/>
      <c r="D258" s="45"/>
      <c r="E258" s="45"/>
      <c r="F258" s="45"/>
      <c r="G258" s="45"/>
      <c r="H258" s="45"/>
      <c r="L258" s="16"/>
      <c r="M258" s="16"/>
    </row>
    <row r="259" spans="1:13">
      <c r="A259" s="45"/>
      <c r="B259" s="45"/>
      <c r="C259" s="45"/>
      <c r="D259" s="45"/>
      <c r="E259" s="45"/>
      <c r="F259" s="45"/>
      <c r="G259" s="45"/>
      <c r="H259" s="45"/>
      <c r="L259" s="16"/>
      <c r="M259" s="16"/>
    </row>
    <row r="260" spans="1:13">
      <c r="A260" s="45"/>
      <c r="B260" s="45"/>
      <c r="C260" s="45"/>
      <c r="D260" s="45"/>
      <c r="E260" s="45"/>
      <c r="F260" s="45"/>
      <c r="G260" s="45"/>
      <c r="H260" s="45"/>
      <c r="L260" s="16"/>
      <c r="M260" s="16"/>
    </row>
    <row r="261" spans="1:13">
      <c r="A261" s="45"/>
      <c r="B261" s="45"/>
      <c r="C261" s="45"/>
      <c r="D261" s="45"/>
      <c r="E261" s="45"/>
      <c r="F261" s="45"/>
      <c r="G261" s="45"/>
      <c r="H261" s="45"/>
      <c r="L261" s="16"/>
      <c r="M261" s="16"/>
    </row>
    <row r="262" spans="1:13">
      <c r="A262" s="45"/>
      <c r="B262" s="45"/>
      <c r="C262" s="45"/>
      <c r="D262" s="45"/>
      <c r="E262" s="45"/>
      <c r="F262" s="45"/>
      <c r="G262" s="45"/>
      <c r="H262" s="45"/>
      <c r="L262" s="16"/>
      <c r="M262" s="16"/>
    </row>
    <row r="263" spans="1:13">
      <c r="A263" s="45"/>
      <c r="B263" s="45"/>
      <c r="C263" s="45"/>
      <c r="D263" s="45"/>
      <c r="E263" s="45"/>
      <c r="F263" s="45"/>
      <c r="G263" s="45"/>
      <c r="H263" s="45"/>
      <c r="L263" s="16"/>
      <c r="M263" s="16"/>
    </row>
    <row r="264" spans="1:13">
      <c r="A264" s="45"/>
      <c r="B264" s="45"/>
      <c r="C264" s="45"/>
      <c r="D264" s="45"/>
      <c r="E264" s="45"/>
      <c r="F264" s="45"/>
      <c r="G264" s="45"/>
      <c r="H264" s="45"/>
      <c r="L264" s="16"/>
      <c r="M264" s="16"/>
    </row>
    <row r="265" spans="1:13">
      <c r="A265" s="45"/>
      <c r="B265" s="45"/>
      <c r="C265" s="45"/>
      <c r="D265" s="45"/>
      <c r="E265" s="45"/>
      <c r="F265" s="45"/>
      <c r="G265" s="45"/>
      <c r="H265" s="45"/>
      <c r="L265" s="16"/>
      <c r="M265" s="16"/>
    </row>
    <row r="266" spans="1:13">
      <c r="A266" s="45"/>
      <c r="B266" s="45"/>
      <c r="C266" s="45"/>
      <c r="D266" s="45"/>
      <c r="E266" s="45"/>
      <c r="F266" s="45"/>
      <c r="G266" s="45"/>
      <c r="H266" s="45"/>
      <c r="L266" s="16"/>
      <c r="M266" s="16"/>
    </row>
    <row r="267" spans="1:13">
      <c r="A267" s="45"/>
      <c r="B267" s="45"/>
      <c r="C267" s="45"/>
      <c r="D267" s="45"/>
      <c r="E267" s="45"/>
      <c r="F267" s="45"/>
      <c r="G267" s="45"/>
      <c r="H267" s="45"/>
      <c r="L267" s="16"/>
      <c r="M267" s="16"/>
    </row>
    <row r="268" spans="1:13">
      <c r="A268" s="45"/>
      <c r="B268" s="45"/>
      <c r="C268" s="45"/>
      <c r="D268" s="45"/>
      <c r="E268" s="45"/>
      <c r="F268" s="45"/>
      <c r="G268" s="45"/>
      <c r="H268" s="45"/>
      <c r="L268" s="16"/>
      <c r="M268" s="16"/>
    </row>
    <row r="269" spans="1:13">
      <c r="A269" s="45"/>
      <c r="B269" s="45"/>
      <c r="C269" s="45"/>
      <c r="D269" s="45"/>
      <c r="E269" s="45"/>
      <c r="F269" s="45"/>
      <c r="G269" s="45"/>
      <c r="H269" s="45"/>
      <c r="L269" s="16"/>
      <c r="M269" s="16"/>
    </row>
    <row r="270" spans="1:13">
      <c r="A270" s="45"/>
      <c r="B270" s="45"/>
      <c r="C270" s="45"/>
      <c r="D270" s="45"/>
      <c r="E270" s="45"/>
      <c r="F270" s="45"/>
      <c r="G270" s="45"/>
      <c r="H270" s="45"/>
      <c r="L270" s="16"/>
      <c r="M270" s="16"/>
    </row>
    <row r="271" spans="1:13">
      <c r="A271" s="45"/>
      <c r="B271" s="45"/>
      <c r="C271" s="45"/>
      <c r="D271" s="45"/>
      <c r="E271" s="45"/>
      <c r="F271" s="45"/>
      <c r="G271" s="45"/>
      <c r="H271" s="45"/>
      <c r="L271" s="16"/>
      <c r="M271" s="16"/>
    </row>
    <row r="272" spans="1:13">
      <c r="A272" s="45"/>
      <c r="B272" s="45"/>
      <c r="C272" s="45"/>
      <c r="D272" s="45"/>
      <c r="E272" s="45"/>
      <c r="F272" s="45"/>
      <c r="G272" s="45"/>
      <c r="H272" s="45"/>
      <c r="L272" s="16"/>
      <c r="M272" s="16"/>
    </row>
    <row r="273" spans="1:13">
      <c r="A273" s="45"/>
      <c r="B273" s="45"/>
      <c r="C273" s="45"/>
      <c r="D273" s="45"/>
      <c r="E273" s="45"/>
      <c r="F273" s="45"/>
      <c r="G273" s="45"/>
      <c r="H273" s="45"/>
      <c r="L273" s="16"/>
      <c r="M273" s="16"/>
    </row>
    <row r="274" spans="1:13">
      <c r="A274" s="45"/>
      <c r="B274" s="45"/>
      <c r="C274" s="45"/>
      <c r="D274" s="45"/>
      <c r="E274" s="45"/>
      <c r="F274" s="45"/>
      <c r="G274" s="45"/>
      <c r="H274" s="45"/>
      <c r="L274" s="16"/>
      <c r="M274" s="16"/>
    </row>
    <row r="275" spans="1:13">
      <c r="A275" s="45"/>
      <c r="B275" s="45"/>
      <c r="C275" s="45"/>
      <c r="D275" s="45"/>
      <c r="E275" s="45"/>
      <c r="F275" s="45"/>
      <c r="G275" s="45"/>
      <c r="H275" s="45"/>
      <c r="L275" s="16"/>
      <c r="M275" s="16"/>
    </row>
    <row r="276" spans="1:13">
      <c r="A276" s="45"/>
      <c r="B276" s="45"/>
      <c r="C276" s="45"/>
      <c r="D276" s="45"/>
      <c r="E276" s="45"/>
      <c r="F276" s="45"/>
      <c r="G276" s="45"/>
      <c r="H276" s="45"/>
      <c r="L276" s="16"/>
      <c r="M276" s="16"/>
    </row>
    <row r="277" spans="1:13">
      <c r="A277" s="45"/>
      <c r="B277" s="45"/>
      <c r="C277" s="45"/>
      <c r="D277" s="45"/>
      <c r="E277" s="45"/>
      <c r="F277" s="45"/>
      <c r="G277" s="45"/>
      <c r="H277" s="45"/>
      <c r="L277" s="16"/>
      <c r="M277" s="16"/>
    </row>
    <row r="278" spans="1:13">
      <c r="A278" s="45"/>
      <c r="B278" s="45"/>
      <c r="C278" s="45"/>
      <c r="D278" s="45"/>
      <c r="E278" s="45"/>
      <c r="F278" s="45"/>
      <c r="G278" s="45"/>
      <c r="H278" s="45"/>
      <c r="L278" s="16"/>
      <c r="M278" s="16"/>
    </row>
    <row r="279" spans="1:13">
      <c r="A279" s="45"/>
      <c r="B279" s="45"/>
      <c r="C279" s="45"/>
      <c r="D279" s="45"/>
      <c r="E279" s="45"/>
      <c r="F279" s="45"/>
      <c r="G279" s="45"/>
      <c r="H279" s="45"/>
      <c r="L279" s="16"/>
      <c r="M279" s="16"/>
    </row>
    <row r="280" spans="1:13">
      <c r="A280" s="45"/>
      <c r="B280" s="45"/>
      <c r="C280" s="45"/>
      <c r="D280" s="45"/>
      <c r="E280" s="45"/>
      <c r="F280" s="45"/>
      <c r="G280" s="45"/>
      <c r="H280" s="45"/>
      <c r="L280" s="16"/>
      <c r="M280" s="16"/>
    </row>
    <row r="281" spans="1:13">
      <c r="A281" s="45"/>
      <c r="B281" s="45"/>
      <c r="C281" s="45"/>
      <c r="D281" s="45"/>
      <c r="E281" s="45"/>
      <c r="F281" s="45"/>
      <c r="G281" s="45"/>
      <c r="H281" s="45"/>
      <c r="L281" s="16"/>
      <c r="M281" s="16"/>
    </row>
    <row r="282" spans="1:13">
      <c r="A282" s="45"/>
      <c r="B282" s="45"/>
      <c r="C282" s="45"/>
      <c r="D282" s="45"/>
      <c r="E282" s="45"/>
      <c r="F282" s="45"/>
      <c r="G282" s="45"/>
      <c r="H282" s="45"/>
      <c r="L282" s="16"/>
      <c r="M282" s="16"/>
    </row>
    <row r="283" spans="1:13">
      <c r="A283" s="45"/>
      <c r="B283" s="45"/>
      <c r="C283" s="45"/>
      <c r="D283" s="45"/>
      <c r="E283" s="45"/>
      <c r="F283" s="45"/>
      <c r="G283" s="45"/>
      <c r="H283" s="45"/>
      <c r="L283" s="16"/>
      <c r="M283" s="16"/>
    </row>
    <row r="284" spans="1:13">
      <c r="A284" s="45"/>
      <c r="B284" s="45"/>
      <c r="C284" s="45"/>
      <c r="D284" s="45"/>
      <c r="E284" s="45"/>
      <c r="F284" s="45"/>
      <c r="G284" s="45"/>
      <c r="H284" s="45"/>
      <c r="L284" s="16"/>
      <c r="M284" s="16"/>
    </row>
    <row r="285" spans="1:13">
      <c r="A285" s="45"/>
      <c r="B285" s="45"/>
      <c r="C285" s="45"/>
      <c r="D285" s="45"/>
      <c r="E285" s="45"/>
      <c r="F285" s="45"/>
      <c r="G285" s="45"/>
      <c r="H285" s="45"/>
      <c r="L285" s="16"/>
      <c r="M285" s="16"/>
    </row>
    <row r="286" spans="1:13">
      <c r="A286" s="45"/>
      <c r="B286" s="45"/>
      <c r="C286" s="45"/>
      <c r="D286" s="45"/>
      <c r="E286" s="45"/>
      <c r="F286" s="45"/>
      <c r="G286" s="45"/>
      <c r="H286" s="45"/>
      <c r="L286" s="16"/>
      <c r="M286" s="16"/>
    </row>
    <row r="287" spans="1:13">
      <c r="A287" s="45"/>
      <c r="B287" s="45"/>
      <c r="C287" s="45"/>
      <c r="D287" s="45"/>
      <c r="E287" s="45"/>
      <c r="F287" s="45"/>
      <c r="G287" s="45"/>
      <c r="H287" s="45"/>
      <c r="L287" s="16"/>
      <c r="M287" s="16"/>
    </row>
    <row r="288" spans="1:13">
      <c r="A288" s="45"/>
      <c r="B288" s="45"/>
      <c r="C288" s="45"/>
      <c r="D288" s="45"/>
      <c r="E288" s="45"/>
      <c r="F288" s="45"/>
      <c r="G288" s="45"/>
      <c r="H288" s="45"/>
      <c r="L288" s="16"/>
      <c r="M288" s="16"/>
    </row>
    <row r="289" spans="1:13">
      <c r="A289" s="45"/>
      <c r="B289" s="45"/>
      <c r="C289" s="45"/>
      <c r="D289" s="45"/>
      <c r="E289" s="45"/>
      <c r="F289" s="45"/>
      <c r="G289" s="45"/>
      <c r="H289" s="45"/>
      <c r="L289" s="16"/>
      <c r="M289" s="16"/>
    </row>
    <row r="290" spans="1:13">
      <c r="A290" s="45"/>
      <c r="B290" s="45"/>
      <c r="C290" s="45"/>
      <c r="D290" s="45"/>
      <c r="E290" s="45"/>
      <c r="F290" s="45"/>
      <c r="G290" s="45"/>
      <c r="H290" s="45"/>
      <c r="L290" s="16"/>
      <c r="M290" s="16"/>
    </row>
    <row r="291" spans="1:13">
      <c r="A291" s="45"/>
      <c r="B291" s="45"/>
      <c r="C291" s="45"/>
      <c r="D291" s="45"/>
      <c r="E291" s="45"/>
      <c r="F291" s="45"/>
      <c r="G291" s="45"/>
      <c r="H291" s="45"/>
      <c r="L291" s="16"/>
      <c r="M291" s="16"/>
    </row>
    <row r="292" spans="1:13">
      <c r="A292" s="45"/>
      <c r="B292" s="45"/>
      <c r="C292" s="45"/>
      <c r="D292" s="45"/>
      <c r="E292" s="45"/>
      <c r="F292" s="45"/>
      <c r="G292" s="45"/>
      <c r="H292" s="45"/>
      <c r="L292" s="16"/>
      <c r="M292" s="16"/>
    </row>
    <row r="293" spans="1:13">
      <c r="A293" s="45"/>
      <c r="B293" s="45"/>
      <c r="C293" s="45"/>
      <c r="D293" s="45"/>
      <c r="E293" s="45"/>
      <c r="F293" s="45"/>
      <c r="G293" s="45"/>
      <c r="H293" s="45"/>
      <c r="L293" s="16"/>
      <c r="M293" s="16"/>
    </row>
    <row r="294" spans="1:13">
      <c r="A294" s="45"/>
      <c r="B294" s="45"/>
      <c r="C294" s="45"/>
      <c r="D294" s="45"/>
      <c r="E294" s="45"/>
      <c r="F294" s="45"/>
      <c r="G294" s="45"/>
      <c r="H294" s="45"/>
      <c r="L294" s="16"/>
      <c r="M294" s="16"/>
    </row>
    <row r="295" spans="1:13">
      <c r="A295" s="45"/>
      <c r="B295" s="45"/>
      <c r="C295" s="45"/>
      <c r="D295" s="45"/>
      <c r="E295" s="45"/>
      <c r="F295" s="45"/>
      <c r="G295" s="45"/>
      <c r="H295" s="45"/>
      <c r="L295" s="16"/>
      <c r="M295" s="16"/>
    </row>
    <row r="296" spans="1:13">
      <c r="A296" s="45"/>
      <c r="B296" s="45"/>
      <c r="C296" s="45"/>
      <c r="D296" s="45"/>
      <c r="E296" s="45"/>
      <c r="F296" s="45"/>
      <c r="G296" s="45"/>
      <c r="H296" s="45"/>
      <c r="L296" s="16"/>
      <c r="M296" s="16"/>
    </row>
    <row r="297" spans="1:13">
      <c r="A297" s="45"/>
      <c r="B297" s="45"/>
      <c r="C297" s="45"/>
      <c r="D297" s="45"/>
      <c r="E297" s="45"/>
      <c r="F297" s="45"/>
      <c r="G297" s="45"/>
      <c r="H297" s="45"/>
      <c r="L297" s="16"/>
      <c r="M297" s="16"/>
    </row>
    <row r="298" spans="1:13">
      <c r="A298" s="45"/>
      <c r="B298" s="45"/>
      <c r="C298" s="45"/>
      <c r="D298" s="45"/>
      <c r="E298" s="45"/>
      <c r="F298" s="45"/>
      <c r="G298" s="45"/>
      <c r="H298" s="45"/>
      <c r="L298" s="16"/>
      <c r="M298" s="16"/>
    </row>
    <row r="299" spans="1:13">
      <c r="A299" s="45"/>
      <c r="B299" s="45"/>
      <c r="C299" s="45"/>
      <c r="D299" s="45"/>
      <c r="E299" s="45"/>
      <c r="F299" s="45"/>
      <c r="G299" s="45"/>
      <c r="H299" s="45"/>
      <c r="L299" s="16"/>
      <c r="M299" s="16"/>
    </row>
    <row r="300" spans="1:13">
      <c r="A300" s="45"/>
      <c r="B300" s="45"/>
      <c r="C300" s="45"/>
      <c r="D300" s="45"/>
      <c r="E300" s="45"/>
      <c r="F300" s="45"/>
      <c r="G300" s="45"/>
      <c r="H300" s="45"/>
      <c r="L300" s="16"/>
      <c r="M300" s="16"/>
    </row>
    <row r="301" spans="1:13">
      <c r="A301" s="45"/>
      <c r="B301" s="45"/>
      <c r="C301" s="45"/>
      <c r="D301" s="45"/>
      <c r="E301" s="45"/>
      <c r="F301" s="45"/>
      <c r="G301" s="45"/>
      <c r="H301" s="45"/>
      <c r="L301" s="16"/>
      <c r="M301" s="16"/>
    </row>
    <row r="302" spans="1:13">
      <c r="A302" s="45"/>
      <c r="B302" s="45"/>
      <c r="C302" s="45"/>
      <c r="D302" s="45"/>
      <c r="E302" s="45"/>
      <c r="F302" s="45"/>
      <c r="G302" s="45"/>
      <c r="H302" s="45"/>
      <c r="L302" s="16"/>
      <c r="M302" s="16"/>
    </row>
    <row r="303" spans="1:13">
      <c r="A303" s="45"/>
      <c r="B303" s="45"/>
      <c r="C303" s="45"/>
      <c r="D303" s="45"/>
      <c r="E303" s="45"/>
      <c r="F303" s="45"/>
      <c r="G303" s="45"/>
      <c r="H303" s="45"/>
      <c r="L303" s="16"/>
      <c r="M303" s="16"/>
    </row>
    <row r="304" spans="1:13">
      <c r="A304" s="45"/>
      <c r="B304" s="45"/>
      <c r="C304" s="45"/>
      <c r="D304" s="45"/>
      <c r="E304" s="45"/>
      <c r="F304" s="45"/>
      <c r="G304" s="45"/>
      <c r="H304" s="45"/>
      <c r="L304" s="16"/>
      <c r="M304" s="16"/>
    </row>
    <row r="305" spans="1:13">
      <c r="A305" s="45"/>
      <c r="B305" s="45"/>
      <c r="C305" s="45"/>
      <c r="D305" s="45"/>
      <c r="E305" s="45"/>
      <c r="F305" s="45"/>
      <c r="G305" s="45"/>
      <c r="H305" s="45"/>
      <c r="L305" s="16"/>
      <c r="M305" s="16"/>
    </row>
    <row r="306" spans="1:13">
      <c r="A306" s="45"/>
      <c r="B306" s="45"/>
      <c r="C306" s="45"/>
      <c r="D306" s="45"/>
      <c r="E306" s="45"/>
      <c r="F306" s="45"/>
      <c r="G306" s="45"/>
      <c r="H306" s="45"/>
      <c r="L306" s="16"/>
      <c r="M306" s="16"/>
    </row>
    <row r="307" spans="1:13">
      <c r="A307" s="45"/>
      <c r="B307" s="45"/>
      <c r="C307" s="45"/>
      <c r="D307" s="45"/>
      <c r="E307" s="45"/>
      <c r="F307" s="45"/>
      <c r="G307" s="45"/>
      <c r="H307" s="45"/>
      <c r="L307" s="16"/>
      <c r="M307" s="16"/>
    </row>
    <row r="308" spans="1:13">
      <c r="A308" s="45"/>
      <c r="B308" s="45"/>
      <c r="C308" s="45"/>
      <c r="D308" s="45"/>
      <c r="E308" s="45"/>
      <c r="F308" s="45"/>
      <c r="G308" s="45"/>
      <c r="H308" s="45"/>
      <c r="L308" s="16"/>
      <c r="M308" s="16"/>
    </row>
    <row r="309" spans="1:13">
      <c r="A309" s="45"/>
      <c r="B309" s="45"/>
      <c r="C309" s="45"/>
      <c r="D309" s="45"/>
      <c r="E309" s="45"/>
      <c r="F309" s="45"/>
      <c r="G309" s="45"/>
      <c r="H309" s="45"/>
      <c r="L309" s="16"/>
      <c r="M309" s="16"/>
    </row>
    <row r="310" spans="1:13">
      <c r="A310" s="45"/>
      <c r="B310" s="45"/>
      <c r="C310" s="45"/>
      <c r="D310" s="45"/>
      <c r="E310" s="45"/>
      <c r="F310" s="45"/>
      <c r="G310" s="45"/>
      <c r="H310" s="45"/>
      <c r="L310" s="16"/>
      <c r="M310" s="16"/>
    </row>
    <row r="311" spans="1:13">
      <c r="A311" s="45"/>
      <c r="B311" s="45"/>
      <c r="C311" s="45"/>
      <c r="D311" s="45"/>
      <c r="E311" s="45"/>
      <c r="F311" s="45"/>
      <c r="G311" s="45"/>
      <c r="H311" s="45"/>
      <c r="L311" s="16"/>
      <c r="M311" s="16"/>
    </row>
    <row r="312" spans="1:13">
      <c r="A312" s="45"/>
      <c r="B312" s="45"/>
      <c r="C312" s="45"/>
      <c r="D312" s="45"/>
      <c r="E312" s="45"/>
      <c r="F312" s="45"/>
      <c r="G312" s="45"/>
      <c r="H312" s="45"/>
      <c r="L312" s="16"/>
      <c r="M312" s="16"/>
    </row>
    <row r="313" spans="1:13">
      <c r="A313" s="45"/>
      <c r="B313" s="45"/>
      <c r="C313" s="45"/>
      <c r="D313" s="45"/>
      <c r="E313" s="45"/>
      <c r="F313" s="45"/>
      <c r="G313" s="45"/>
      <c r="H313" s="45"/>
      <c r="L313" s="16"/>
      <c r="M313" s="16"/>
    </row>
    <row r="314" spans="1:13">
      <c r="A314" s="45"/>
      <c r="B314" s="45"/>
      <c r="C314" s="45"/>
      <c r="D314" s="45"/>
      <c r="E314" s="45"/>
      <c r="F314" s="45"/>
      <c r="G314" s="45"/>
      <c r="H314" s="45"/>
      <c r="L314" s="16"/>
      <c r="M314" s="16"/>
    </row>
    <row r="315" spans="1:13">
      <c r="A315" s="45"/>
      <c r="B315" s="45"/>
      <c r="C315" s="45"/>
      <c r="D315" s="45"/>
      <c r="E315" s="45"/>
      <c r="F315" s="45"/>
      <c r="G315" s="45"/>
      <c r="H315" s="45"/>
      <c r="L315" s="16"/>
      <c r="M315" s="16"/>
    </row>
    <row r="316" spans="1:13">
      <c r="A316" s="45"/>
      <c r="B316" s="45"/>
      <c r="C316" s="45"/>
      <c r="D316" s="45"/>
      <c r="E316" s="45"/>
      <c r="F316" s="45"/>
      <c r="G316" s="45"/>
      <c r="H316" s="45"/>
      <c r="L316" s="16"/>
      <c r="M316" s="16"/>
    </row>
    <row r="317" spans="1:13">
      <c r="A317" s="45"/>
      <c r="B317" s="45"/>
      <c r="C317" s="45"/>
      <c r="D317" s="45"/>
      <c r="E317" s="45"/>
      <c r="F317" s="45"/>
      <c r="G317" s="45"/>
      <c r="H317" s="45"/>
      <c r="L317" s="16"/>
      <c r="M317" s="16"/>
    </row>
    <row r="318" spans="1:13">
      <c r="A318" s="45"/>
      <c r="B318" s="45"/>
      <c r="C318" s="45"/>
      <c r="D318" s="45"/>
      <c r="E318" s="45"/>
      <c r="F318" s="45"/>
      <c r="G318" s="45"/>
      <c r="H318" s="45"/>
      <c r="L318" s="16"/>
      <c r="M318" s="16"/>
    </row>
    <row r="319" spans="1:13">
      <c r="A319" s="45"/>
      <c r="B319" s="45"/>
      <c r="C319" s="45"/>
      <c r="D319" s="45"/>
      <c r="E319" s="45"/>
      <c r="F319" s="45"/>
      <c r="G319" s="45"/>
      <c r="H319" s="45"/>
      <c r="L319" s="16"/>
      <c r="M319" s="16"/>
    </row>
    <row r="320" spans="1:13">
      <c r="A320" s="45"/>
      <c r="B320" s="45"/>
      <c r="C320" s="45"/>
      <c r="D320" s="45"/>
      <c r="E320" s="45"/>
      <c r="F320" s="45"/>
      <c r="G320" s="45"/>
      <c r="H320" s="45"/>
      <c r="L320" s="16"/>
      <c r="M320" s="16"/>
    </row>
    <row r="321" spans="1:13">
      <c r="A321" s="45"/>
      <c r="B321" s="45"/>
      <c r="C321" s="45"/>
      <c r="D321" s="45"/>
      <c r="E321" s="45"/>
      <c r="F321" s="45"/>
      <c r="G321" s="45"/>
      <c r="H321" s="45"/>
      <c r="L321" s="16"/>
      <c r="M321" s="16"/>
    </row>
    <row r="322" spans="1:13">
      <c r="A322" s="45"/>
      <c r="B322" s="45"/>
      <c r="C322" s="45"/>
      <c r="D322" s="45"/>
      <c r="E322" s="45"/>
      <c r="F322" s="45"/>
      <c r="G322" s="45"/>
      <c r="H322" s="45"/>
      <c r="L322" s="16"/>
      <c r="M322" s="16"/>
    </row>
    <row r="323" spans="1:13">
      <c r="A323" s="45"/>
      <c r="B323" s="45"/>
      <c r="C323" s="45"/>
      <c r="D323" s="45"/>
      <c r="E323" s="45"/>
      <c r="F323" s="45"/>
      <c r="G323" s="45"/>
      <c r="H323" s="45"/>
      <c r="L323" s="16"/>
      <c r="M323" s="16"/>
    </row>
    <row r="324" spans="1:13">
      <c r="A324" s="45"/>
      <c r="B324" s="45"/>
      <c r="C324" s="45"/>
      <c r="D324" s="45"/>
      <c r="E324" s="45"/>
      <c r="F324" s="45"/>
      <c r="G324" s="45"/>
      <c r="H324" s="45"/>
      <c r="L324" s="16"/>
      <c r="M324" s="16"/>
    </row>
    <row r="325" spans="1:13">
      <c r="A325" s="45"/>
      <c r="B325" s="45"/>
      <c r="C325" s="45"/>
      <c r="D325" s="45"/>
      <c r="E325" s="45"/>
      <c r="F325" s="45"/>
      <c r="G325" s="45"/>
      <c r="H325" s="45"/>
      <c r="L325" s="16"/>
      <c r="M325" s="16"/>
    </row>
    <row r="326" spans="1:13">
      <c r="A326" s="45"/>
      <c r="B326" s="45"/>
      <c r="C326" s="45"/>
      <c r="D326" s="45"/>
      <c r="E326" s="45"/>
      <c r="F326" s="45"/>
      <c r="G326" s="45"/>
      <c r="H326" s="45"/>
      <c r="L326" s="16"/>
      <c r="M326" s="16"/>
    </row>
    <row r="327" spans="1:13">
      <c r="A327" s="45"/>
      <c r="B327" s="45"/>
      <c r="C327" s="45"/>
      <c r="D327" s="45"/>
      <c r="E327" s="45"/>
      <c r="F327" s="45"/>
      <c r="G327" s="45"/>
      <c r="H327" s="45"/>
      <c r="L327" s="16"/>
      <c r="M327" s="16"/>
    </row>
    <row r="328" spans="1:13">
      <c r="A328" s="45"/>
      <c r="B328" s="45"/>
      <c r="C328" s="45"/>
      <c r="D328" s="45"/>
      <c r="E328" s="45"/>
      <c r="F328" s="45"/>
      <c r="G328" s="45"/>
      <c r="H328" s="45"/>
      <c r="L328" s="16"/>
      <c r="M328" s="16"/>
    </row>
    <row r="329" spans="1:13">
      <c r="A329" s="45"/>
      <c r="B329" s="45"/>
      <c r="C329" s="45"/>
      <c r="D329" s="45"/>
      <c r="E329" s="45"/>
      <c r="F329" s="45"/>
      <c r="G329" s="45"/>
      <c r="H329" s="45"/>
      <c r="L329" s="16"/>
      <c r="M329" s="16"/>
    </row>
    <row r="330" spans="1:13">
      <c r="A330" s="45"/>
      <c r="B330" s="45"/>
      <c r="C330" s="45"/>
      <c r="D330" s="45"/>
      <c r="E330" s="45"/>
      <c r="F330" s="45"/>
      <c r="G330" s="45"/>
      <c r="H330" s="45"/>
      <c r="L330" s="16"/>
      <c r="M330" s="16"/>
    </row>
    <row r="331" spans="1:13">
      <c r="A331" s="45"/>
      <c r="B331" s="45"/>
      <c r="C331" s="45"/>
      <c r="D331" s="45"/>
      <c r="E331" s="45"/>
      <c r="F331" s="45"/>
      <c r="G331" s="45"/>
      <c r="H331" s="45"/>
      <c r="L331" s="16"/>
      <c r="M331" s="16"/>
    </row>
    <row r="332" spans="1:13">
      <c r="A332" s="45"/>
      <c r="B332" s="45"/>
      <c r="C332" s="45"/>
      <c r="D332" s="45"/>
      <c r="E332" s="45"/>
      <c r="F332" s="45"/>
      <c r="G332" s="45"/>
      <c r="H332" s="45"/>
      <c r="L332" s="16"/>
      <c r="M332" s="16"/>
    </row>
    <row r="333" spans="1:13">
      <c r="A333" s="45"/>
      <c r="B333" s="45"/>
      <c r="C333" s="45"/>
      <c r="D333" s="45"/>
      <c r="E333" s="45"/>
      <c r="F333" s="45"/>
      <c r="G333" s="45"/>
      <c r="H333" s="45"/>
      <c r="L333" s="16"/>
      <c r="M333" s="16"/>
    </row>
    <row r="334" spans="1:13">
      <c r="A334" s="45"/>
      <c r="B334" s="45"/>
      <c r="C334" s="45"/>
      <c r="D334" s="45"/>
      <c r="E334" s="45"/>
      <c r="F334" s="45"/>
      <c r="G334" s="45"/>
      <c r="H334" s="45"/>
      <c r="L334" s="16"/>
      <c r="M334" s="16"/>
    </row>
    <row r="335" spans="1:13">
      <c r="A335" s="45"/>
      <c r="B335" s="45"/>
      <c r="C335" s="45"/>
      <c r="D335" s="45"/>
      <c r="E335" s="45"/>
      <c r="F335" s="45"/>
      <c r="G335" s="45"/>
      <c r="H335" s="45"/>
      <c r="L335" s="16"/>
      <c r="M335" s="16"/>
    </row>
    <row r="336" spans="1:13">
      <c r="A336" s="45"/>
      <c r="B336" s="45"/>
      <c r="C336" s="45"/>
      <c r="D336" s="45"/>
      <c r="E336" s="45"/>
      <c r="F336" s="45"/>
      <c r="G336" s="45"/>
      <c r="H336" s="45"/>
      <c r="L336" s="16"/>
      <c r="M336" s="16"/>
    </row>
    <row r="337" spans="1:13">
      <c r="A337" s="45"/>
      <c r="B337" s="45"/>
      <c r="C337" s="45"/>
      <c r="D337" s="45"/>
      <c r="E337" s="45"/>
      <c r="F337" s="45"/>
      <c r="G337" s="45"/>
      <c r="H337" s="45"/>
      <c r="L337" s="16"/>
      <c r="M337" s="16"/>
    </row>
    <row r="338" spans="1:13">
      <c r="A338" s="45"/>
      <c r="B338" s="45"/>
      <c r="C338" s="45"/>
      <c r="D338" s="45"/>
      <c r="E338" s="45"/>
      <c r="F338" s="45"/>
      <c r="G338" s="45"/>
      <c r="H338" s="45"/>
      <c r="L338" s="16"/>
      <c r="M338" s="16"/>
    </row>
    <row r="339" spans="1:13">
      <c r="A339" s="45"/>
      <c r="B339" s="45"/>
      <c r="C339" s="45"/>
      <c r="D339" s="45"/>
      <c r="E339" s="45"/>
      <c r="F339" s="45"/>
      <c r="G339" s="45"/>
      <c r="H339" s="45"/>
      <c r="L339" s="16"/>
      <c r="M339" s="16"/>
    </row>
    <row r="340" spans="1:13">
      <c r="A340" s="45"/>
      <c r="B340" s="45"/>
      <c r="C340" s="45"/>
      <c r="D340" s="45"/>
      <c r="E340" s="45"/>
      <c r="F340" s="45"/>
      <c r="G340" s="45"/>
      <c r="H340" s="45"/>
      <c r="L340" s="16"/>
      <c r="M340" s="16"/>
    </row>
    <row r="341" spans="1:13">
      <c r="A341" s="45"/>
      <c r="B341" s="45"/>
      <c r="C341" s="45"/>
      <c r="D341" s="45"/>
      <c r="E341" s="45"/>
      <c r="F341" s="45"/>
      <c r="G341" s="45"/>
      <c r="H341" s="45"/>
      <c r="L341" s="16"/>
      <c r="M341" s="16"/>
    </row>
    <row r="342" spans="1:13">
      <c r="A342" s="45"/>
      <c r="B342" s="45"/>
      <c r="C342" s="45"/>
      <c r="D342" s="45"/>
      <c r="E342" s="45"/>
      <c r="F342" s="45"/>
      <c r="G342" s="45"/>
      <c r="H342" s="45"/>
      <c r="L342" s="16"/>
      <c r="M342" s="16"/>
    </row>
    <row r="343" spans="1:13">
      <c r="A343" s="45"/>
      <c r="B343" s="45"/>
      <c r="C343" s="45"/>
      <c r="D343" s="45"/>
      <c r="E343" s="45"/>
      <c r="F343" s="45"/>
      <c r="G343" s="45"/>
      <c r="H343" s="45"/>
      <c r="L343" s="16"/>
      <c r="M343" s="16"/>
    </row>
    <row r="344" spans="1:13">
      <c r="A344" s="45"/>
      <c r="B344" s="45"/>
      <c r="C344" s="45"/>
      <c r="D344" s="45"/>
      <c r="E344" s="45"/>
      <c r="F344" s="45"/>
      <c r="G344" s="45"/>
      <c r="H344" s="45"/>
      <c r="L344" s="16"/>
      <c r="M344" s="16"/>
    </row>
    <row r="345" spans="1:13">
      <c r="A345" s="45"/>
      <c r="B345" s="45"/>
      <c r="C345" s="45"/>
      <c r="D345" s="45"/>
      <c r="E345" s="45"/>
      <c r="F345" s="45"/>
      <c r="G345" s="45"/>
      <c r="H345" s="45"/>
      <c r="L345" s="16"/>
      <c r="M345" s="16"/>
    </row>
    <row r="346" spans="1:13">
      <c r="A346" s="45"/>
      <c r="B346" s="45"/>
      <c r="C346" s="45"/>
      <c r="D346" s="45"/>
      <c r="E346" s="45"/>
      <c r="F346" s="45"/>
      <c r="G346" s="45"/>
      <c r="H346" s="45"/>
      <c r="L346" s="16"/>
      <c r="M346" s="16"/>
    </row>
    <row r="347" spans="1:13">
      <c r="A347" s="45"/>
      <c r="B347" s="45"/>
      <c r="C347" s="45"/>
      <c r="D347" s="45"/>
      <c r="E347" s="45"/>
      <c r="F347" s="45"/>
      <c r="G347" s="45"/>
      <c r="H347" s="45"/>
      <c r="L347" s="16"/>
      <c r="M347" s="16"/>
    </row>
    <row r="348" spans="1:13">
      <c r="A348" s="45"/>
      <c r="B348" s="45"/>
      <c r="C348" s="45"/>
      <c r="D348" s="45"/>
      <c r="E348" s="45"/>
      <c r="F348" s="45"/>
      <c r="G348" s="45"/>
      <c r="H348" s="45"/>
      <c r="L348" s="16"/>
      <c r="M348" s="16"/>
    </row>
    <row r="349" spans="1:13">
      <c r="A349" s="45"/>
      <c r="B349" s="45"/>
      <c r="C349" s="45"/>
      <c r="D349" s="45"/>
      <c r="E349" s="45"/>
      <c r="F349" s="45"/>
      <c r="G349" s="45"/>
      <c r="H349" s="45"/>
      <c r="L349" s="16"/>
      <c r="M349" s="16"/>
    </row>
    <row r="350" spans="1:13">
      <c r="A350" s="45"/>
      <c r="B350" s="45"/>
      <c r="C350" s="45"/>
      <c r="D350" s="45"/>
      <c r="E350" s="45"/>
      <c r="F350" s="45"/>
      <c r="G350" s="45"/>
      <c r="H350" s="45"/>
      <c r="L350" s="16"/>
      <c r="M350" s="16"/>
    </row>
    <row r="351" spans="1:13">
      <c r="A351" s="45"/>
      <c r="B351" s="45"/>
      <c r="C351" s="45"/>
      <c r="D351" s="45"/>
      <c r="E351" s="45"/>
      <c r="F351" s="45"/>
      <c r="G351" s="45"/>
      <c r="H351" s="45"/>
      <c r="L351" s="16"/>
      <c r="M351" s="16"/>
    </row>
    <row r="352" spans="1:13">
      <c r="A352" s="45"/>
      <c r="B352" s="45"/>
      <c r="C352" s="45"/>
      <c r="D352" s="45"/>
      <c r="E352" s="45"/>
      <c r="F352" s="45"/>
      <c r="G352" s="45"/>
      <c r="H352" s="45"/>
      <c r="L352" s="16"/>
      <c r="M352" s="16"/>
    </row>
    <row r="353" spans="1:13">
      <c r="A353" s="45"/>
      <c r="B353" s="45"/>
      <c r="C353" s="45"/>
      <c r="D353" s="45"/>
      <c r="E353" s="45"/>
      <c r="F353" s="45"/>
      <c r="G353" s="45"/>
      <c r="H353" s="45"/>
      <c r="L353" s="16"/>
      <c r="M353" s="16"/>
    </row>
    <row r="354" spans="1:13">
      <c r="A354" s="45"/>
      <c r="B354" s="45"/>
      <c r="C354" s="45"/>
      <c r="D354" s="45"/>
      <c r="E354" s="45"/>
      <c r="F354" s="45"/>
      <c r="G354" s="45"/>
      <c r="H354" s="45"/>
      <c r="L354" s="16"/>
      <c r="M354" s="16"/>
    </row>
    <row r="355" spans="1:13">
      <c r="A355" s="45"/>
      <c r="B355" s="45"/>
      <c r="C355" s="45"/>
      <c r="D355" s="45"/>
      <c r="E355" s="45"/>
      <c r="F355" s="45"/>
      <c r="G355" s="45"/>
      <c r="H355" s="45"/>
      <c r="L355" s="16"/>
      <c r="M355" s="16"/>
    </row>
    <row r="356" spans="1:13">
      <c r="A356" s="45"/>
      <c r="B356" s="45"/>
      <c r="C356" s="45"/>
      <c r="D356" s="45"/>
      <c r="E356" s="45"/>
      <c r="F356" s="45"/>
      <c r="G356" s="45"/>
      <c r="H356" s="45"/>
      <c r="L356" s="16"/>
      <c r="M356" s="16"/>
    </row>
    <row r="357" spans="1:13">
      <c r="A357" s="45"/>
      <c r="B357" s="45"/>
      <c r="C357" s="45"/>
      <c r="D357" s="45"/>
      <c r="E357" s="45"/>
      <c r="F357" s="45"/>
      <c r="G357" s="45"/>
      <c r="H357" s="45"/>
      <c r="L357" s="16"/>
      <c r="M357" s="16"/>
    </row>
    <row r="358" spans="1:13">
      <c r="A358" s="45"/>
      <c r="B358" s="45"/>
      <c r="C358" s="45"/>
      <c r="D358" s="45"/>
      <c r="E358" s="45"/>
      <c r="F358" s="45"/>
      <c r="G358" s="45"/>
      <c r="H358" s="45"/>
      <c r="L358" s="16"/>
      <c r="M358" s="16"/>
    </row>
    <row r="359" spans="1:13">
      <c r="A359" s="45"/>
      <c r="B359" s="45"/>
      <c r="C359" s="45"/>
      <c r="D359" s="45"/>
      <c r="E359" s="45"/>
      <c r="F359" s="45"/>
      <c r="G359" s="45"/>
      <c r="H359" s="45"/>
      <c r="L359" s="16"/>
      <c r="M359" s="16"/>
    </row>
    <row r="360" spans="1:13">
      <c r="A360" s="45"/>
      <c r="B360" s="45"/>
      <c r="C360" s="45"/>
      <c r="D360" s="45"/>
      <c r="E360" s="45"/>
      <c r="F360" s="45"/>
      <c r="G360" s="45"/>
      <c r="H360" s="45"/>
      <c r="L360" s="16"/>
      <c r="M360" s="16"/>
    </row>
    <row r="361" spans="1:13">
      <c r="A361" s="45"/>
      <c r="B361" s="45"/>
      <c r="C361" s="45"/>
      <c r="D361" s="45"/>
      <c r="E361" s="45"/>
      <c r="F361" s="45"/>
      <c r="G361" s="45"/>
      <c r="H361" s="45"/>
      <c r="L361" s="16"/>
      <c r="M361" s="16"/>
    </row>
    <row r="362" spans="1:13">
      <c r="A362" s="45"/>
      <c r="B362" s="45"/>
      <c r="C362" s="45"/>
      <c r="D362" s="45"/>
      <c r="E362" s="45"/>
      <c r="F362" s="45"/>
      <c r="G362" s="45"/>
      <c r="H362" s="45"/>
      <c r="L362" s="16"/>
      <c r="M362" s="16"/>
    </row>
    <row r="363" spans="1:13">
      <c r="A363" s="45"/>
      <c r="B363" s="45"/>
      <c r="C363" s="45"/>
      <c r="D363" s="45"/>
      <c r="E363" s="45"/>
      <c r="F363" s="45"/>
      <c r="G363" s="45"/>
      <c r="H363" s="45"/>
      <c r="L363" s="16"/>
      <c r="M363" s="16"/>
    </row>
    <row r="364" spans="1:13">
      <c r="A364" s="45"/>
      <c r="B364" s="45"/>
      <c r="C364" s="45"/>
      <c r="D364" s="45"/>
      <c r="E364" s="45"/>
      <c r="F364" s="45"/>
      <c r="G364" s="45"/>
      <c r="H364" s="45"/>
      <c r="L364" s="16"/>
      <c r="M364" s="16"/>
    </row>
    <row r="365" spans="1:13">
      <c r="A365" s="45"/>
      <c r="B365" s="45"/>
      <c r="C365" s="45"/>
      <c r="D365" s="45"/>
      <c r="E365" s="45"/>
      <c r="F365" s="45"/>
      <c r="G365" s="45"/>
      <c r="H365" s="45"/>
      <c r="L365" s="16"/>
      <c r="M365" s="16"/>
    </row>
    <row r="366" spans="1:13">
      <c r="A366" s="45"/>
      <c r="B366" s="45"/>
      <c r="C366" s="45"/>
      <c r="D366" s="45"/>
      <c r="E366" s="45"/>
      <c r="F366" s="45"/>
      <c r="G366" s="45"/>
      <c r="H366" s="45"/>
      <c r="L366" s="16"/>
      <c r="M366" s="16"/>
    </row>
    <row r="367" spans="1:13">
      <c r="A367" s="45"/>
      <c r="B367" s="45"/>
      <c r="C367" s="45"/>
      <c r="D367" s="45"/>
      <c r="E367" s="45"/>
      <c r="F367" s="45"/>
      <c r="G367" s="45"/>
      <c r="H367" s="45"/>
      <c r="L367" s="16"/>
      <c r="M367" s="16"/>
    </row>
    <row r="368" spans="1:13">
      <c r="A368" s="45"/>
      <c r="B368" s="45"/>
      <c r="C368" s="45"/>
      <c r="D368" s="45"/>
      <c r="E368" s="45"/>
      <c r="F368" s="45"/>
      <c r="G368" s="45"/>
      <c r="H368" s="45"/>
      <c r="L368" s="16"/>
      <c r="M368" s="16"/>
    </row>
    <row r="369" spans="1:13">
      <c r="A369" s="45"/>
      <c r="B369" s="45"/>
      <c r="C369" s="45"/>
      <c r="D369" s="45"/>
      <c r="E369" s="45"/>
      <c r="F369" s="45"/>
      <c r="G369" s="45"/>
      <c r="H369" s="45"/>
      <c r="L369" s="16"/>
      <c r="M369" s="16"/>
    </row>
    <row r="370" spans="1:13">
      <c r="A370" s="45"/>
      <c r="B370" s="45"/>
      <c r="C370" s="45"/>
      <c r="D370" s="45"/>
      <c r="E370" s="45"/>
      <c r="F370" s="45"/>
      <c r="G370" s="45"/>
      <c r="H370" s="45"/>
      <c r="L370" s="16"/>
      <c r="M370" s="16"/>
    </row>
    <row r="371" spans="1:13">
      <c r="A371" s="45"/>
      <c r="B371" s="45"/>
      <c r="C371" s="45"/>
      <c r="D371" s="45"/>
      <c r="E371" s="45"/>
      <c r="F371" s="45"/>
      <c r="G371" s="45"/>
      <c r="H371" s="45"/>
      <c r="L371" s="16"/>
      <c r="M371" s="16"/>
    </row>
    <row r="372" spans="1:13">
      <c r="A372" s="45"/>
      <c r="B372" s="45"/>
      <c r="C372" s="45"/>
      <c r="D372" s="45"/>
      <c r="E372" s="45"/>
      <c r="F372" s="45"/>
      <c r="G372" s="45"/>
      <c r="H372" s="45"/>
      <c r="L372" s="16"/>
      <c r="M372" s="16"/>
    </row>
    <row r="373" spans="1:13">
      <c r="A373" s="45"/>
      <c r="B373" s="45"/>
      <c r="C373" s="45"/>
      <c r="D373" s="45"/>
      <c r="E373" s="45"/>
      <c r="F373" s="45"/>
      <c r="G373" s="45"/>
      <c r="H373" s="45"/>
      <c r="L373" s="16"/>
      <c r="M373" s="16"/>
    </row>
    <row r="374" spans="1:13">
      <c r="A374" s="45"/>
      <c r="B374" s="45"/>
      <c r="C374" s="45"/>
      <c r="D374" s="45"/>
      <c r="E374" s="45"/>
      <c r="F374" s="45"/>
      <c r="G374" s="45"/>
      <c r="H374" s="45"/>
      <c r="L374" s="16"/>
      <c r="M374" s="16"/>
    </row>
    <row r="375" spans="1:13">
      <c r="A375" s="45"/>
      <c r="B375" s="45"/>
      <c r="C375" s="45"/>
      <c r="D375" s="45"/>
      <c r="E375" s="45"/>
      <c r="F375" s="45"/>
      <c r="G375" s="45"/>
      <c r="H375" s="45"/>
      <c r="L375" s="16"/>
      <c r="M375" s="16"/>
    </row>
    <row r="376" spans="1:13">
      <c r="A376" s="45"/>
      <c r="B376" s="45"/>
      <c r="C376" s="45"/>
      <c r="D376" s="45"/>
      <c r="E376" s="45"/>
      <c r="F376" s="45"/>
      <c r="G376" s="45"/>
      <c r="H376" s="45"/>
      <c r="L376" s="16"/>
      <c r="M376" s="16"/>
    </row>
    <row r="377" spans="1:13">
      <c r="A377" s="45"/>
      <c r="B377" s="45"/>
      <c r="C377" s="45"/>
      <c r="D377" s="45"/>
      <c r="E377" s="45"/>
      <c r="F377" s="45"/>
      <c r="G377" s="45"/>
      <c r="H377" s="45"/>
      <c r="L377" s="16"/>
      <c r="M377" s="16"/>
    </row>
    <row r="378" spans="1:13">
      <c r="A378" s="45"/>
      <c r="B378" s="45"/>
      <c r="C378" s="45"/>
      <c r="D378" s="45"/>
      <c r="E378" s="45"/>
      <c r="F378" s="45"/>
      <c r="G378" s="45"/>
      <c r="H378" s="45"/>
      <c r="L378" s="16"/>
      <c r="M378" s="16"/>
    </row>
    <row r="379" spans="1:13">
      <c r="A379" s="45"/>
      <c r="B379" s="45"/>
      <c r="C379" s="45"/>
      <c r="D379" s="45"/>
      <c r="E379" s="45"/>
      <c r="F379" s="45"/>
      <c r="G379" s="45"/>
      <c r="H379" s="45"/>
      <c r="L379" s="16"/>
      <c r="M379" s="16"/>
    </row>
    <row r="380" spans="1:13">
      <c r="A380" s="45"/>
      <c r="B380" s="45"/>
      <c r="C380" s="45"/>
      <c r="D380" s="45"/>
      <c r="E380" s="45"/>
      <c r="F380" s="45"/>
      <c r="G380" s="45"/>
      <c r="H380" s="45"/>
      <c r="L380" s="16"/>
      <c r="M380" s="16"/>
    </row>
    <row r="381" spans="1:13">
      <c r="A381" s="45"/>
      <c r="B381" s="45"/>
      <c r="C381" s="45"/>
      <c r="D381" s="45"/>
      <c r="E381" s="45"/>
      <c r="F381" s="45"/>
      <c r="G381" s="45"/>
      <c r="H381" s="45"/>
      <c r="L381" s="16"/>
      <c r="M381" s="16"/>
    </row>
    <row r="382" spans="1:13">
      <c r="A382" s="45"/>
      <c r="B382" s="45"/>
      <c r="C382" s="45"/>
      <c r="D382" s="45"/>
      <c r="E382" s="45"/>
      <c r="F382" s="45"/>
      <c r="G382" s="45"/>
      <c r="H382" s="45"/>
      <c r="L382" s="16"/>
      <c r="M382" s="16"/>
    </row>
    <row r="383" spans="1:13">
      <c r="A383" s="45"/>
      <c r="B383" s="45"/>
      <c r="C383" s="45"/>
      <c r="D383" s="45"/>
      <c r="E383" s="45"/>
      <c r="F383" s="45"/>
      <c r="G383" s="45"/>
      <c r="H383" s="45"/>
      <c r="L383" s="16"/>
      <c r="M383" s="16"/>
    </row>
    <row r="384" spans="1:13">
      <c r="A384" s="45"/>
      <c r="B384" s="45"/>
      <c r="C384" s="45"/>
      <c r="D384" s="45"/>
      <c r="E384" s="45"/>
      <c r="F384" s="45"/>
      <c r="G384" s="45"/>
      <c r="H384" s="45"/>
      <c r="L384" s="16"/>
      <c r="M384" s="16"/>
    </row>
    <row r="385" spans="1:13">
      <c r="A385" s="45"/>
      <c r="B385" s="45"/>
      <c r="C385" s="45"/>
      <c r="D385" s="45"/>
      <c r="E385" s="45"/>
      <c r="F385" s="45"/>
      <c r="G385" s="45"/>
      <c r="H385" s="45"/>
      <c r="L385" s="16"/>
      <c r="M385" s="16"/>
    </row>
    <row r="386" spans="1:13">
      <c r="A386" s="45"/>
      <c r="B386" s="45"/>
      <c r="C386" s="45"/>
      <c r="D386" s="45"/>
      <c r="E386" s="45"/>
      <c r="F386" s="45"/>
      <c r="G386" s="45"/>
      <c r="H386" s="45"/>
      <c r="L386" s="16"/>
      <c r="M386" s="16"/>
    </row>
    <row r="387" spans="1:13">
      <c r="A387" s="45"/>
      <c r="B387" s="45"/>
      <c r="C387" s="45"/>
      <c r="D387" s="45"/>
      <c r="E387" s="45"/>
      <c r="F387" s="45"/>
      <c r="G387" s="45"/>
      <c r="H387" s="45"/>
      <c r="L387" s="16"/>
      <c r="M387" s="16"/>
    </row>
    <row r="388" spans="1:13">
      <c r="A388" s="45"/>
      <c r="B388" s="45"/>
      <c r="C388" s="45"/>
      <c r="D388" s="45"/>
      <c r="E388" s="45"/>
      <c r="F388" s="45"/>
      <c r="G388" s="45"/>
      <c r="H388" s="45"/>
      <c r="L388" s="16"/>
      <c r="M388" s="16"/>
    </row>
    <row r="389" spans="1:13">
      <c r="A389" s="45"/>
      <c r="B389" s="45"/>
      <c r="C389" s="45"/>
      <c r="D389" s="45"/>
      <c r="E389" s="45"/>
      <c r="F389" s="45"/>
      <c r="G389" s="45"/>
      <c r="H389" s="45"/>
      <c r="L389" s="16"/>
      <c r="M389" s="16"/>
    </row>
    <row r="390" spans="1:13">
      <c r="A390" s="45"/>
      <c r="B390" s="45"/>
      <c r="C390" s="45"/>
      <c r="D390" s="45"/>
      <c r="E390" s="45"/>
      <c r="F390" s="45"/>
      <c r="G390" s="45"/>
      <c r="H390" s="45"/>
      <c r="L390" s="16"/>
      <c r="M390" s="16"/>
    </row>
    <row r="391" spans="1:13">
      <c r="A391" s="45"/>
      <c r="B391" s="45"/>
      <c r="C391" s="45"/>
      <c r="D391" s="45"/>
      <c r="E391" s="45"/>
      <c r="F391" s="45"/>
      <c r="G391" s="45"/>
      <c r="H391" s="45"/>
      <c r="L391" s="16"/>
      <c r="M391" s="16"/>
    </row>
    <row r="392" spans="1:13">
      <c r="A392" s="45"/>
      <c r="B392" s="45"/>
      <c r="C392" s="45"/>
      <c r="D392" s="45"/>
      <c r="E392" s="45"/>
      <c r="F392" s="45"/>
      <c r="G392" s="45"/>
      <c r="H392" s="45"/>
      <c r="L392" s="16"/>
      <c r="M392" s="16"/>
    </row>
    <row r="393" spans="1:13">
      <c r="A393" s="45"/>
      <c r="B393" s="45"/>
      <c r="C393" s="45"/>
      <c r="D393" s="45"/>
      <c r="E393" s="45"/>
      <c r="F393" s="45"/>
      <c r="G393" s="45"/>
      <c r="H393" s="45"/>
      <c r="L393" s="16"/>
      <c r="M393" s="16"/>
    </row>
    <row r="394" spans="1:13">
      <c r="A394" s="45"/>
      <c r="B394" s="45"/>
      <c r="C394" s="45"/>
      <c r="D394" s="45"/>
      <c r="E394" s="45"/>
      <c r="F394" s="45"/>
      <c r="G394" s="45"/>
      <c r="H394" s="45"/>
      <c r="L394" s="16"/>
      <c r="M394" s="16"/>
    </row>
    <row r="395" spans="1:13">
      <c r="A395" s="45"/>
      <c r="B395" s="45"/>
      <c r="C395" s="45"/>
      <c r="D395" s="45"/>
      <c r="E395" s="45"/>
      <c r="F395" s="45"/>
      <c r="G395" s="45"/>
      <c r="H395" s="45"/>
      <c r="L395" s="16"/>
      <c r="M395" s="16"/>
    </row>
    <row r="396" spans="1:13">
      <c r="A396" s="45"/>
      <c r="B396" s="45"/>
      <c r="C396" s="45"/>
      <c r="D396" s="45"/>
      <c r="E396" s="45"/>
      <c r="F396" s="45"/>
      <c r="G396" s="45"/>
      <c r="H396" s="45"/>
      <c r="L396" s="16"/>
      <c r="M396" s="16"/>
    </row>
    <row r="397" spans="1:13">
      <c r="A397" s="45"/>
      <c r="B397" s="45"/>
      <c r="C397" s="45"/>
      <c r="D397" s="45"/>
      <c r="E397" s="45"/>
      <c r="F397" s="45"/>
      <c r="G397" s="45"/>
      <c r="H397" s="45"/>
      <c r="L397" s="16"/>
      <c r="M397" s="16"/>
    </row>
    <row r="398" spans="1:13">
      <c r="A398" s="45"/>
      <c r="B398" s="45"/>
      <c r="C398" s="45"/>
      <c r="D398" s="45"/>
      <c r="E398" s="45"/>
      <c r="F398" s="45"/>
      <c r="G398" s="45"/>
      <c r="H398" s="45"/>
      <c r="L398" s="16"/>
      <c r="M398" s="16"/>
    </row>
    <row r="399" spans="1:13">
      <c r="A399" s="45"/>
      <c r="B399" s="45"/>
      <c r="C399" s="45"/>
      <c r="D399" s="45"/>
      <c r="E399" s="45"/>
      <c r="F399" s="45"/>
      <c r="G399" s="45"/>
      <c r="H399" s="45"/>
      <c r="L399" s="16"/>
      <c r="M399" s="16"/>
    </row>
    <row r="400" spans="1:13">
      <c r="A400" s="45"/>
      <c r="B400" s="45"/>
      <c r="C400" s="45"/>
      <c r="D400" s="45"/>
      <c r="E400" s="45"/>
      <c r="F400" s="45"/>
      <c r="G400" s="45"/>
      <c r="H400" s="45"/>
      <c r="L400" s="16"/>
      <c r="M400" s="16"/>
    </row>
    <row r="401" spans="1:13">
      <c r="A401" s="45"/>
      <c r="B401" s="45"/>
      <c r="C401" s="45"/>
      <c r="D401" s="45"/>
      <c r="E401" s="45"/>
      <c r="F401" s="45"/>
      <c r="G401" s="45"/>
      <c r="H401" s="45"/>
      <c r="L401" s="16"/>
      <c r="M401" s="16"/>
    </row>
    <row r="402" spans="1:13">
      <c r="A402" s="45"/>
      <c r="B402" s="45"/>
      <c r="C402" s="45"/>
      <c r="D402" s="45"/>
      <c r="E402" s="45"/>
      <c r="F402" s="45"/>
      <c r="G402" s="45"/>
      <c r="H402" s="45"/>
      <c r="L402" s="16"/>
      <c r="M402" s="16"/>
    </row>
    <row r="403" spans="1:13">
      <c r="A403" s="45"/>
      <c r="B403" s="45"/>
      <c r="C403" s="45"/>
      <c r="D403" s="45"/>
      <c r="E403" s="45"/>
      <c r="F403" s="45"/>
      <c r="G403" s="45"/>
      <c r="H403" s="45"/>
      <c r="L403" s="16"/>
      <c r="M403" s="16"/>
    </row>
    <row r="404" spans="1:13">
      <c r="A404" s="45"/>
      <c r="B404" s="45"/>
      <c r="C404" s="45"/>
      <c r="D404" s="45"/>
      <c r="E404" s="45"/>
      <c r="F404" s="45"/>
      <c r="G404" s="45"/>
      <c r="H404" s="45"/>
      <c r="L404" s="16"/>
      <c r="M404" s="16"/>
    </row>
    <row r="405" spans="1:13">
      <c r="A405" s="45"/>
      <c r="B405" s="45"/>
      <c r="C405" s="45"/>
      <c r="D405" s="45"/>
      <c r="E405" s="45"/>
      <c r="F405" s="45"/>
      <c r="G405" s="45"/>
      <c r="H405" s="45"/>
      <c r="L405" s="16"/>
      <c r="M405" s="16"/>
    </row>
    <row r="406" spans="1:13">
      <c r="A406" s="45"/>
      <c r="B406" s="45"/>
      <c r="C406" s="45"/>
      <c r="D406" s="45"/>
      <c r="E406" s="45"/>
      <c r="F406" s="45"/>
      <c r="G406" s="45"/>
      <c r="H406" s="45"/>
      <c r="L406" s="16"/>
      <c r="M406" s="16"/>
    </row>
    <row r="407" spans="1:13">
      <c r="A407" s="45"/>
      <c r="B407" s="45"/>
      <c r="C407" s="45"/>
      <c r="D407" s="45"/>
      <c r="E407" s="45"/>
      <c r="F407" s="45"/>
      <c r="G407" s="45"/>
      <c r="H407" s="45"/>
      <c r="L407" s="16"/>
      <c r="M407" s="16"/>
    </row>
    <row r="408" spans="1:13">
      <c r="A408" s="45"/>
      <c r="B408" s="45"/>
      <c r="C408" s="45"/>
      <c r="D408" s="45"/>
      <c r="E408" s="45"/>
      <c r="F408" s="45"/>
      <c r="G408" s="45"/>
      <c r="H408" s="45"/>
      <c r="L408" s="16"/>
      <c r="M408" s="16"/>
    </row>
    <row r="409" spans="1:13">
      <c r="A409" s="45"/>
      <c r="B409" s="45"/>
      <c r="C409" s="45"/>
      <c r="D409" s="45"/>
      <c r="E409" s="45"/>
      <c r="F409" s="45"/>
      <c r="G409" s="45"/>
      <c r="H409" s="45"/>
      <c r="L409" s="16"/>
      <c r="M409" s="16"/>
    </row>
    <row r="410" spans="1:13">
      <c r="A410" s="45"/>
      <c r="B410" s="45"/>
      <c r="C410" s="45"/>
      <c r="D410" s="45"/>
      <c r="E410" s="45"/>
      <c r="F410" s="45"/>
      <c r="G410" s="45"/>
      <c r="H410" s="45"/>
      <c r="L410" s="16"/>
      <c r="M410" s="16"/>
    </row>
    <row r="411" spans="1:13">
      <c r="A411" s="45"/>
      <c r="B411" s="45"/>
      <c r="C411" s="45"/>
      <c r="D411" s="45"/>
      <c r="E411" s="45"/>
      <c r="F411" s="45"/>
      <c r="G411" s="45"/>
      <c r="H411" s="45"/>
      <c r="L411" s="16"/>
      <c r="M411" s="16"/>
    </row>
    <row r="412" spans="1:13">
      <c r="A412" s="45"/>
      <c r="B412" s="45"/>
      <c r="C412" s="45"/>
      <c r="D412" s="45"/>
      <c r="E412" s="45"/>
      <c r="F412" s="45"/>
      <c r="G412" s="45"/>
      <c r="H412" s="45"/>
      <c r="L412" s="16"/>
      <c r="M412" s="16"/>
    </row>
    <row r="413" spans="1:13">
      <c r="A413" s="45"/>
      <c r="B413" s="45"/>
      <c r="C413" s="45"/>
      <c r="D413" s="45"/>
      <c r="E413" s="45"/>
      <c r="F413" s="45"/>
      <c r="G413" s="45"/>
      <c r="H413" s="45"/>
      <c r="L413" s="16"/>
      <c r="M413" s="16"/>
    </row>
    <row r="414" spans="1:13">
      <c r="A414" s="45"/>
      <c r="B414" s="45"/>
      <c r="C414" s="45"/>
      <c r="D414" s="45"/>
      <c r="E414" s="45"/>
      <c r="F414" s="45"/>
      <c r="G414" s="45"/>
      <c r="H414" s="45"/>
      <c r="L414" s="16"/>
      <c r="M414" s="16"/>
    </row>
    <row r="415" spans="1:13">
      <c r="A415" s="45"/>
      <c r="B415" s="45"/>
      <c r="C415" s="45"/>
      <c r="D415" s="45"/>
      <c r="E415" s="45"/>
      <c r="F415" s="45"/>
      <c r="G415" s="45"/>
      <c r="H415" s="45"/>
      <c r="L415" s="16"/>
      <c r="M415" s="16"/>
    </row>
    <row r="416" spans="1:13">
      <c r="A416" s="45"/>
      <c r="B416" s="45"/>
      <c r="C416" s="45"/>
      <c r="D416" s="45"/>
      <c r="E416" s="45"/>
      <c r="F416" s="45"/>
      <c r="G416" s="45"/>
      <c r="H416" s="45"/>
      <c r="L416" s="16"/>
      <c r="M416" s="16"/>
    </row>
    <row r="417" spans="1:13">
      <c r="A417" s="45"/>
      <c r="B417" s="45"/>
      <c r="C417" s="45"/>
      <c r="D417" s="45"/>
      <c r="E417" s="45"/>
      <c r="F417" s="45"/>
      <c r="G417" s="45"/>
      <c r="H417" s="45"/>
      <c r="L417" s="16"/>
      <c r="M417" s="16"/>
    </row>
    <row r="418" spans="1:13">
      <c r="A418" s="45"/>
      <c r="B418" s="45"/>
      <c r="C418" s="45"/>
      <c r="D418" s="45"/>
      <c r="E418" s="45"/>
      <c r="F418" s="45"/>
      <c r="G418" s="45"/>
      <c r="H418" s="45"/>
      <c r="L418" s="16"/>
      <c r="M418" s="16"/>
    </row>
    <row r="419" spans="1:13">
      <c r="A419" s="45"/>
      <c r="B419" s="45"/>
      <c r="C419" s="45"/>
      <c r="D419" s="45"/>
      <c r="E419" s="45"/>
      <c r="F419" s="45"/>
      <c r="G419" s="45"/>
      <c r="H419" s="45"/>
      <c r="L419" s="16"/>
      <c r="M419" s="16"/>
    </row>
    <row r="420" spans="1:13">
      <c r="A420" s="45"/>
      <c r="B420" s="45"/>
      <c r="C420" s="45"/>
      <c r="D420" s="45"/>
      <c r="E420" s="45"/>
      <c r="F420" s="45"/>
      <c r="G420" s="45"/>
      <c r="H420" s="45"/>
      <c r="L420" s="16"/>
      <c r="M420" s="16"/>
    </row>
    <row r="421" spans="1:13">
      <c r="A421" s="45"/>
      <c r="B421" s="45"/>
      <c r="C421" s="45"/>
      <c r="D421" s="45"/>
      <c r="E421" s="45"/>
      <c r="F421" s="45"/>
      <c r="G421" s="45"/>
      <c r="H421" s="45"/>
      <c r="L421" s="16"/>
      <c r="M421" s="16"/>
    </row>
    <row r="422" spans="1:13">
      <c r="A422" s="45"/>
      <c r="B422" s="45"/>
      <c r="C422" s="45"/>
      <c r="D422" s="45"/>
      <c r="E422" s="45"/>
      <c r="F422" s="45"/>
      <c r="G422" s="45"/>
      <c r="H422" s="45"/>
      <c r="L422" s="16"/>
      <c r="M422" s="16"/>
    </row>
    <row r="423" spans="1:13">
      <c r="A423" s="45"/>
      <c r="B423" s="45"/>
      <c r="C423" s="45"/>
      <c r="D423" s="45"/>
      <c r="E423" s="45"/>
      <c r="F423" s="45"/>
      <c r="G423" s="45"/>
      <c r="H423" s="45"/>
      <c r="L423" s="16"/>
      <c r="M423" s="16"/>
    </row>
    <row r="424" spans="1:13">
      <c r="A424" s="45"/>
      <c r="B424" s="45"/>
      <c r="C424" s="45"/>
      <c r="D424" s="45"/>
      <c r="E424" s="45"/>
      <c r="F424" s="45"/>
      <c r="G424" s="45"/>
      <c r="H424" s="45"/>
      <c r="L424" s="16"/>
      <c r="M424" s="16"/>
    </row>
    <row r="425" spans="1:13">
      <c r="A425" s="45"/>
      <c r="B425" s="45"/>
      <c r="C425" s="45"/>
      <c r="D425" s="45"/>
      <c r="E425" s="45"/>
      <c r="F425" s="45"/>
      <c r="G425" s="45"/>
      <c r="H425" s="45"/>
      <c r="L425" s="16"/>
      <c r="M425" s="16"/>
    </row>
    <row r="426" spans="1:13">
      <c r="A426" s="45"/>
      <c r="B426" s="45"/>
      <c r="C426" s="45"/>
      <c r="D426" s="45"/>
      <c r="E426" s="45"/>
      <c r="F426" s="45"/>
      <c r="G426" s="45"/>
      <c r="H426" s="45"/>
      <c r="L426" s="16"/>
      <c r="M426" s="16"/>
    </row>
    <row r="427" spans="1:13">
      <c r="A427" s="45"/>
      <c r="B427" s="45"/>
      <c r="C427" s="45"/>
      <c r="D427" s="45"/>
      <c r="E427" s="45"/>
      <c r="F427" s="45"/>
      <c r="G427" s="45"/>
      <c r="H427" s="45"/>
      <c r="L427" s="16"/>
      <c r="M427" s="16"/>
    </row>
    <row r="428" spans="1:13">
      <c r="A428" s="45"/>
      <c r="B428" s="45"/>
      <c r="C428" s="45"/>
      <c r="D428" s="45"/>
      <c r="E428" s="45"/>
      <c r="F428" s="45"/>
      <c r="G428" s="45"/>
      <c r="H428" s="45"/>
      <c r="L428" s="16"/>
      <c r="M428" s="16"/>
    </row>
    <row r="429" spans="1:13">
      <c r="A429" s="45"/>
      <c r="B429" s="45"/>
      <c r="C429" s="45"/>
      <c r="D429" s="45"/>
      <c r="E429" s="45"/>
      <c r="F429" s="45"/>
      <c r="G429" s="45"/>
      <c r="H429" s="45"/>
      <c r="L429" s="16"/>
      <c r="M429" s="16"/>
    </row>
    <row r="430" spans="1:13">
      <c r="A430" s="45"/>
      <c r="B430" s="45"/>
      <c r="C430" s="45"/>
      <c r="D430" s="45"/>
      <c r="E430" s="45"/>
      <c r="F430" s="45"/>
      <c r="G430" s="45"/>
      <c r="H430" s="45"/>
      <c r="L430" s="16"/>
      <c r="M430" s="16"/>
    </row>
    <row r="431" spans="1:13">
      <c r="A431" s="45"/>
      <c r="B431" s="45"/>
      <c r="C431" s="45"/>
      <c r="D431" s="45"/>
      <c r="E431" s="45"/>
      <c r="F431" s="45"/>
      <c r="G431" s="45"/>
      <c r="H431" s="45"/>
      <c r="L431" s="16"/>
      <c r="M431" s="16"/>
    </row>
    <row r="432" spans="1:13">
      <c r="A432" s="45"/>
      <c r="B432" s="45"/>
      <c r="C432" s="45"/>
      <c r="D432" s="45"/>
      <c r="E432" s="45"/>
      <c r="F432" s="45"/>
      <c r="G432" s="45"/>
      <c r="H432" s="45"/>
      <c r="L432" s="16"/>
      <c r="M432" s="16"/>
    </row>
    <row r="433" spans="1:13">
      <c r="A433" s="45"/>
      <c r="B433" s="45"/>
      <c r="C433" s="45"/>
      <c r="D433" s="45"/>
      <c r="E433" s="45"/>
      <c r="F433" s="45"/>
      <c r="G433" s="45"/>
      <c r="H433" s="45"/>
      <c r="L433" s="16"/>
      <c r="M433" s="16"/>
    </row>
    <row r="434" spans="1:13">
      <c r="A434" s="45"/>
      <c r="B434" s="45"/>
      <c r="C434" s="45"/>
      <c r="D434" s="45"/>
      <c r="E434" s="45"/>
      <c r="F434" s="45"/>
      <c r="G434" s="45"/>
      <c r="H434" s="45"/>
      <c r="L434" s="16"/>
      <c r="M434" s="16"/>
    </row>
    <row r="435" spans="1:13">
      <c r="A435" s="45"/>
      <c r="B435" s="45"/>
      <c r="C435" s="45"/>
      <c r="D435" s="45"/>
      <c r="E435" s="45"/>
      <c r="F435" s="45"/>
      <c r="G435" s="45"/>
      <c r="H435" s="45"/>
      <c r="L435" s="16"/>
      <c r="M435" s="16"/>
    </row>
    <row r="436" spans="1:13">
      <c r="A436" s="45"/>
      <c r="B436" s="45"/>
      <c r="C436" s="45"/>
      <c r="D436" s="45"/>
      <c r="E436" s="45"/>
      <c r="F436" s="45"/>
      <c r="G436" s="45"/>
      <c r="H436" s="45"/>
      <c r="L436" s="16"/>
      <c r="M436" s="16"/>
    </row>
    <row r="437" spans="1:13">
      <c r="A437" s="45"/>
      <c r="B437" s="45"/>
      <c r="C437" s="45"/>
      <c r="D437" s="45"/>
      <c r="E437" s="45"/>
      <c r="F437" s="45"/>
      <c r="G437" s="45"/>
      <c r="H437" s="45"/>
      <c r="L437" s="16"/>
      <c r="M437" s="16"/>
    </row>
    <row r="438" spans="1:13">
      <c r="A438" s="45"/>
      <c r="B438" s="45"/>
      <c r="C438" s="45"/>
      <c r="D438" s="45"/>
      <c r="E438" s="45"/>
      <c r="F438" s="45"/>
      <c r="G438" s="45"/>
      <c r="H438" s="45"/>
      <c r="L438" s="16"/>
      <c r="M438" s="16"/>
    </row>
    <row r="439" spans="1:13">
      <c r="A439" s="45"/>
      <c r="B439" s="45"/>
      <c r="C439" s="45"/>
      <c r="D439" s="45"/>
      <c r="E439" s="45"/>
      <c r="F439" s="45"/>
      <c r="G439" s="45"/>
      <c r="H439" s="45"/>
      <c r="L439" s="16"/>
      <c r="M439" s="16"/>
    </row>
    <row r="440" spans="1:13">
      <c r="A440" s="45"/>
      <c r="B440" s="45"/>
      <c r="C440" s="45"/>
      <c r="D440" s="45"/>
      <c r="E440" s="45"/>
      <c r="F440" s="45"/>
      <c r="G440" s="45"/>
      <c r="H440" s="45"/>
      <c r="L440" s="16"/>
      <c r="M440" s="16"/>
    </row>
    <row r="441" spans="1:13">
      <c r="A441" s="45"/>
      <c r="B441" s="45"/>
      <c r="C441" s="45"/>
      <c r="D441" s="45"/>
      <c r="E441" s="45"/>
      <c r="F441" s="45"/>
      <c r="G441" s="45"/>
      <c r="H441" s="45"/>
      <c r="L441" s="16"/>
      <c r="M441" s="16"/>
    </row>
    <row r="442" spans="1:13">
      <c r="A442" s="45"/>
      <c r="B442" s="45"/>
      <c r="C442" s="45"/>
      <c r="D442" s="45"/>
      <c r="E442" s="45"/>
      <c r="F442" s="45"/>
      <c r="G442" s="45"/>
      <c r="H442" s="45"/>
      <c r="L442" s="16"/>
      <c r="M442" s="16"/>
    </row>
    <row r="443" spans="1:13">
      <c r="A443" s="45"/>
      <c r="B443" s="45"/>
      <c r="C443" s="45"/>
      <c r="D443" s="45"/>
      <c r="E443" s="45"/>
      <c r="F443" s="45"/>
      <c r="G443" s="45"/>
      <c r="H443" s="45"/>
      <c r="L443" s="16"/>
      <c r="M443" s="16"/>
    </row>
    <row r="444" spans="1:13">
      <c r="A444" s="45"/>
      <c r="B444" s="45"/>
      <c r="C444" s="45"/>
      <c r="D444" s="45"/>
      <c r="E444" s="45"/>
      <c r="F444" s="45"/>
      <c r="G444" s="45"/>
      <c r="H444" s="45"/>
      <c r="L444" s="16"/>
      <c r="M444" s="16"/>
    </row>
    <row r="445" spans="1:13">
      <c r="A445" s="45"/>
      <c r="B445" s="45"/>
      <c r="C445" s="45"/>
      <c r="D445" s="45"/>
      <c r="E445" s="45"/>
      <c r="F445" s="45"/>
      <c r="G445" s="45"/>
      <c r="H445" s="45"/>
      <c r="L445" s="16"/>
      <c r="M445" s="16"/>
    </row>
    <row r="446" spans="1:13">
      <c r="A446" s="45"/>
      <c r="B446" s="45"/>
      <c r="C446" s="45"/>
      <c r="D446" s="45"/>
      <c r="E446" s="45"/>
      <c r="F446" s="45"/>
      <c r="G446" s="45"/>
      <c r="H446" s="45"/>
      <c r="L446" s="16"/>
      <c r="M446" s="16"/>
    </row>
    <row r="447" spans="1:13">
      <c r="A447" s="45"/>
      <c r="B447" s="45"/>
      <c r="C447" s="45"/>
      <c r="D447" s="45"/>
      <c r="E447" s="45"/>
      <c r="F447" s="45"/>
      <c r="G447" s="45"/>
      <c r="H447" s="45"/>
      <c r="L447" s="16"/>
      <c r="M447" s="16"/>
    </row>
    <row r="448" spans="1:13">
      <c r="A448" s="45"/>
      <c r="B448" s="45"/>
      <c r="C448" s="45"/>
      <c r="D448" s="45"/>
      <c r="E448" s="45"/>
      <c r="F448" s="45"/>
      <c r="G448" s="45"/>
      <c r="H448" s="45"/>
      <c r="L448" s="16"/>
      <c r="M448" s="16"/>
    </row>
    <row r="449" spans="1:13">
      <c r="A449" s="45"/>
      <c r="B449" s="45"/>
      <c r="C449" s="45"/>
      <c r="D449" s="45"/>
      <c r="E449" s="45"/>
      <c r="F449" s="45"/>
      <c r="G449" s="45"/>
      <c r="H449" s="45"/>
      <c r="L449" s="16"/>
      <c r="M449" s="16"/>
    </row>
    <row r="450" spans="1:13">
      <c r="A450" s="45"/>
      <c r="B450" s="45"/>
      <c r="C450" s="45"/>
      <c r="D450" s="45"/>
      <c r="E450" s="45"/>
      <c r="F450" s="45"/>
      <c r="G450" s="45"/>
      <c r="H450" s="45"/>
      <c r="L450" s="16"/>
      <c r="M450" s="16"/>
    </row>
    <row r="451" spans="1:13">
      <c r="A451" s="45"/>
      <c r="B451" s="45"/>
      <c r="C451" s="45"/>
      <c r="D451" s="45"/>
      <c r="E451" s="45"/>
      <c r="F451" s="45"/>
      <c r="G451" s="45"/>
      <c r="H451" s="45"/>
      <c r="L451" s="16"/>
      <c r="M451" s="16"/>
    </row>
    <row r="452" spans="1:13">
      <c r="A452" s="45"/>
      <c r="B452" s="45"/>
      <c r="C452" s="45"/>
      <c r="D452" s="45"/>
      <c r="E452" s="45"/>
      <c r="F452" s="45"/>
      <c r="G452" s="45"/>
      <c r="H452" s="45"/>
      <c r="L452" s="16"/>
      <c r="M452" s="16"/>
    </row>
    <row r="453" spans="1:13">
      <c r="A453" s="45"/>
      <c r="B453" s="45"/>
      <c r="C453" s="45"/>
      <c r="D453" s="45"/>
      <c r="E453" s="45"/>
      <c r="F453" s="45"/>
      <c r="G453" s="45"/>
      <c r="H453" s="45"/>
      <c r="L453" s="16"/>
      <c r="M453" s="16"/>
    </row>
    <row r="454" spans="1:13">
      <c r="A454" s="45"/>
      <c r="B454" s="45"/>
      <c r="C454" s="45"/>
      <c r="D454" s="45"/>
      <c r="E454" s="45"/>
      <c r="F454" s="45"/>
      <c r="G454" s="45"/>
      <c r="H454" s="45"/>
      <c r="L454" s="16"/>
      <c r="M454" s="16"/>
    </row>
    <row r="455" spans="1:13">
      <c r="A455" s="45"/>
      <c r="B455" s="45"/>
      <c r="C455" s="45"/>
      <c r="D455" s="45"/>
      <c r="E455" s="45"/>
      <c r="F455" s="45"/>
      <c r="G455" s="45"/>
      <c r="H455" s="45"/>
      <c r="L455" s="16"/>
      <c r="M455" s="16"/>
    </row>
    <row r="456" spans="1:13">
      <c r="A456" s="45"/>
      <c r="B456" s="45"/>
      <c r="C456" s="45"/>
      <c r="D456" s="45"/>
      <c r="E456" s="45"/>
      <c r="F456" s="45"/>
      <c r="G456" s="45"/>
      <c r="H456" s="45"/>
      <c r="L456" s="16"/>
      <c r="M456" s="16"/>
    </row>
    <row r="457" spans="1:13">
      <c r="A457" s="45"/>
      <c r="B457" s="45"/>
      <c r="C457" s="45"/>
      <c r="D457" s="45"/>
      <c r="E457" s="45"/>
      <c r="F457" s="45"/>
      <c r="G457" s="45"/>
      <c r="H457" s="45"/>
      <c r="L457" s="16"/>
      <c r="M457" s="16"/>
    </row>
    <row r="458" spans="1:13">
      <c r="A458" s="45"/>
      <c r="B458" s="45"/>
      <c r="C458" s="45"/>
      <c r="D458" s="45"/>
      <c r="E458" s="45"/>
      <c r="F458" s="45"/>
      <c r="G458" s="45"/>
      <c r="H458" s="45"/>
      <c r="L458" s="16"/>
      <c r="M458" s="16"/>
    </row>
    <row r="459" spans="1:13">
      <c r="A459" s="45"/>
      <c r="B459" s="45"/>
      <c r="C459" s="45"/>
      <c r="D459" s="45"/>
      <c r="E459" s="45"/>
      <c r="F459" s="45"/>
      <c r="G459" s="45"/>
      <c r="H459" s="45"/>
      <c r="L459" s="16"/>
      <c r="M459" s="16"/>
    </row>
    <row r="460" spans="1:13">
      <c r="A460" s="45"/>
      <c r="B460" s="45"/>
      <c r="C460" s="45"/>
      <c r="D460" s="45"/>
      <c r="E460" s="45"/>
      <c r="F460" s="45"/>
      <c r="G460" s="45"/>
      <c r="H460" s="45"/>
      <c r="L460" s="16"/>
      <c r="M460" s="16"/>
    </row>
    <row r="461" spans="1:13">
      <c r="A461" s="45"/>
      <c r="B461" s="45"/>
      <c r="C461" s="45"/>
      <c r="D461" s="45"/>
      <c r="E461" s="45"/>
      <c r="F461" s="45"/>
      <c r="G461" s="45"/>
      <c r="H461" s="45"/>
      <c r="L461" s="16"/>
      <c r="M461" s="16"/>
    </row>
    <row r="462" spans="1:13">
      <c r="A462" s="45"/>
      <c r="B462" s="45"/>
      <c r="C462" s="45"/>
      <c r="D462" s="45"/>
      <c r="E462" s="45"/>
      <c r="F462" s="45"/>
      <c r="G462" s="45"/>
      <c r="H462" s="45"/>
      <c r="L462" s="16"/>
      <c r="M462" s="16"/>
    </row>
    <row r="463" spans="1:13">
      <c r="A463" s="45"/>
      <c r="B463" s="45"/>
      <c r="C463" s="45"/>
      <c r="D463" s="45"/>
      <c r="E463" s="45"/>
      <c r="F463" s="45"/>
      <c r="G463" s="45"/>
      <c r="H463" s="45"/>
      <c r="L463" s="16"/>
      <c r="M463" s="16"/>
    </row>
    <row r="464" spans="1:13">
      <c r="A464" s="45"/>
      <c r="B464" s="45"/>
      <c r="C464" s="45"/>
      <c r="D464" s="45"/>
      <c r="E464" s="45"/>
      <c r="F464" s="45"/>
      <c r="G464" s="45"/>
      <c r="H464" s="45"/>
      <c r="L464" s="16"/>
      <c r="M464" s="16"/>
    </row>
    <row r="465" spans="1:13">
      <c r="A465" s="45"/>
      <c r="B465" s="45"/>
      <c r="C465" s="45"/>
      <c r="D465" s="45"/>
      <c r="E465" s="45"/>
      <c r="F465" s="45"/>
      <c r="G465" s="45"/>
      <c r="H465" s="45"/>
      <c r="L465" s="16"/>
      <c r="M465" s="16"/>
    </row>
    <row r="466" spans="1:13">
      <c r="A466" s="45"/>
      <c r="B466" s="45"/>
      <c r="C466" s="45"/>
      <c r="D466" s="45"/>
      <c r="E466" s="45"/>
      <c r="F466" s="45"/>
      <c r="G466" s="45"/>
      <c r="H466" s="45"/>
      <c r="L466" s="16"/>
      <c r="M466" s="16"/>
    </row>
    <row r="467" spans="1:13">
      <c r="A467" s="45"/>
      <c r="B467" s="45"/>
      <c r="C467" s="45"/>
      <c r="D467" s="45"/>
      <c r="E467" s="45"/>
      <c r="F467" s="45"/>
      <c r="G467" s="45"/>
      <c r="H467" s="45"/>
      <c r="L467" s="16"/>
      <c r="M467" s="16"/>
    </row>
    <row r="468" spans="1:13">
      <c r="A468" s="45"/>
      <c r="B468" s="45"/>
      <c r="C468" s="45"/>
      <c r="D468" s="45"/>
      <c r="E468" s="45"/>
      <c r="F468" s="45"/>
      <c r="G468" s="45"/>
      <c r="H468" s="45"/>
      <c r="L468" s="16"/>
      <c r="M468" s="16"/>
    </row>
    <row r="469" spans="1:13">
      <c r="A469" s="45"/>
      <c r="B469" s="45"/>
      <c r="C469" s="45"/>
      <c r="D469" s="45"/>
      <c r="E469" s="45"/>
      <c r="F469" s="45"/>
      <c r="G469" s="45"/>
      <c r="H469" s="45"/>
      <c r="L469" s="16"/>
      <c r="M469" s="16"/>
    </row>
    <row r="470" spans="1:13">
      <c r="A470" s="45"/>
      <c r="B470" s="45"/>
      <c r="C470" s="45"/>
      <c r="D470" s="45"/>
      <c r="E470" s="45"/>
      <c r="F470" s="45"/>
      <c r="G470" s="45"/>
      <c r="H470" s="45"/>
      <c r="L470" s="16"/>
      <c r="M470" s="16"/>
    </row>
    <row r="471" spans="1:13">
      <c r="A471" s="45"/>
      <c r="B471" s="45"/>
      <c r="C471" s="45"/>
      <c r="D471" s="45"/>
      <c r="E471" s="45"/>
      <c r="F471" s="45"/>
      <c r="G471" s="45"/>
      <c r="H471" s="45"/>
      <c r="L471" s="16"/>
      <c r="M471" s="16"/>
    </row>
    <row r="472" spans="1:13">
      <c r="A472" s="45"/>
      <c r="B472" s="45"/>
      <c r="C472" s="45"/>
      <c r="D472" s="45"/>
      <c r="E472" s="45"/>
      <c r="F472" s="45"/>
      <c r="G472" s="45"/>
      <c r="H472" s="45"/>
      <c r="L472" s="16"/>
      <c r="M472" s="16"/>
    </row>
    <row r="473" spans="1:13">
      <c r="A473" s="45"/>
      <c r="B473" s="45"/>
      <c r="C473" s="45"/>
      <c r="D473" s="45"/>
      <c r="E473" s="45"/>
      <c r="F473" s="45"/>
      <c r="G473" s="45"/>
      <c r="H473" s="45"/>
      <c r="L473" s="16"/>
      <c r="M473" s="16"/>
    </row>
    <row r="474" spans="1:13">
      <c r="A474" s="45"/>
      <c r="B474" s="45"/>
      <c r="C474" s="45"/>
      <c r="D474" s="45"/>
      <c r="E474" s="45"/>
      <c r="F474" s="45"/>
      <c r="G474" s="45"/>
      <c r="H474" s="45"/>
      <c r="L474" s="16"/>
      <c r="M474" s="16"/>
    </row>
    <row r="475" spans="1:13">
      <c r="A475" s="45"/>
      <c r="B475" s="45"/>
      <c r="C475" s="45"/>
      <c r="D475" s="45"/>
      <c r="E475" s="45"/>
      <c r="F475" s="45"/>
      <c r="G475" s="45"/>
      <c r="H475" s="45"/>
      <c r="L475" s="16"/>
      <c r="M475" s="16"/>
    </row>
    <row r="476" spans="1:13">
      <c r="A476" s="45"/>
      <c r="B476" s="45"/>
      <c r="C476" s="45"/>
      <c r="D476" s="45"/>
      <c r="E476" s="45"/>
      <c r="F476" s="45"/>
      <c r="G476" s="45"/>
      <c r="H476" s="45"/>
      <c r="L476" s="16"/>
      <c r="M476" s="16"/>
    </row>
    <row r="477" spans="1:13">
      <c r="A477" s="45"/>
      <c r="B477" s="45"/>
      <c r="C477" s="45"/>
      <c r="D477" s="45"/>
      <c r="E477" s="45"/>
      <c r="F477" s="45"/>
      <c r="G477" s="45"/>
      <c r="H477" s="45"/>
      <c r="L477" s="16"/>
      <c r="M477" s="16"/>
    </row>
    <row r="478" spans="1:13">
      <c r="A478" s="45"/>
      <c r="B478" s="45"/>
      <c r="C478" s="45"/>
      <c r="D478" s="45"/>
      <c r="E478" s="45"/>
      <c r="F478" s="45"/>
      <c r="G478" s="45"/>
      <c r="H478" s="45"/>
      <c r="L478" s="16"/>
      <c r="M478" s="16"/>
    </row>
    <row r="479" spans="1:13">
      <c r="A479" s="45"/>
      <c r="B479" s="45"/>
      <c r="C479" s="45"/>
      <c r="D479" s="45"/>
      <c r="E479" s="45"/>
      <c r="F479" s="45"/>
      <c r="G479" s="45"/>
      <c r="H479" s="45"/>
      <c r="L479" s="16"/>
      <c r="M479" s="16"/>
    </row>
    <row r="480" spans="1:13">
      <c r="A480" s="45"/>
      <c r="B480" s="45"/>
      <c r="C480" s="45"/>
      <c r="D480" s="45"/>
      <c r="E480" s="45"/>
      <c r="F480" s="45"/>
      <c r="G480" s="45"/>
      <c r="H480" s="45"/>
      <c r="L480" s="16"/>
      <c r="M480" s="16"/>
    </row>
    <row r="481" spans="1:13">
      <c r="A481" s="45"/>
      <c r="B481" s="45"/>
      <c r="C481" s="45"/>
      <c r="D481" s="45"/>
      <c r="E481" s="45"/>
      <c r="F481" s="45"/>
      <c r="G481" s="45"/>
      <c r="H481" s="45"/>
      <c r="L481" s="16"/>
      <c r="M481" s="16"/>
    </row>
    <row r="482" spans="1:13">
      <c r="A482" s="45"/>
      <c r="B482" s="45"/>
      <c r="C482" s="45"/>
      <c r="D482" s="45"/>
      <c r="E482" s="45"/>
      <c r="F482" s="45"/>
      <c r="G482" s="45"/>
      <c r="H482" s="45"/>
      <c r="L482" s="16"/>
      <c r="M482" s="16"/>
    </row>
    <row r="483" spans="1:13">
      <c r="A483" s="45"/>
      <c r="B483" s="45"/>
      <c r="C483" s="45"/>
      <c r="D483" s="45"/>
      <c r="E483" s="45"/>
      <c r="F483" s="45"/>
      <c r="G483" s="45"/>
      <c r="H483" s="45"/>
      <c r="L483" s="16"/>
      <c r="M483" s="16"/>
    </row>
    <row r="484" spans="1:13">
      <c r="A484" s="45"/>
      <c r="B484" s="45"/>
      <c r="C484" s="45"/>
      <c r="D484" s="45"/>
      <c r="E484" s="45"/>
      <c r="F484" s="45"/>
      <c r="G484" s="45"/>
      <c r="H484" s="45"/>
      <c r="L484" s="16"/>
      <c r="M484" s="16"/>
    </row>
    <row r="485" spans="1:13">
      <c r="A485" s="45"/>
      <c r="B485" s="45"/>
      <c r="C485" s="45"/>
      <c r="D485" s="45"/>
      <c r="E485" s="45"/>
      <c r="F485" s="45"/>
      <c r="G485" s="45"/>
      <c r="H485" s="45"/>
      <c r="L485" s="16"/>
      <c r="M485" s="16"/>
    </row>
    <row r="486" spans="1:13">
      <c r="A486" s="45"/>
      <c r="B486" s="45"/>
      <c r="C486" s="45"/>
      <c r="D486" s="45"/>
      <c r="E486" s="45"/>
      <c r="F486" s="45"/>
      <c r="G486" s="45"/>
      <c r="H486" s="45"/>
      <c r="L486" s="16"/>
      <c r="M486" s="16"/>
    </row>
    <row r="487" spans="1:13">
      <c r="A487" s="45"/>
      <c r="B487" s="45"/>
      <c r="C487" s="45"/>
      <c r="D487" s="45"/>
      <c r="E487" s="45"/>
      <c r="F487" s="45"/>
      <c r="G487" s="45"/>
      <c r="H487" s="45"/>
      <c r="L487" s="16"/>
      <c r="M487" s="16"/>
    </row>
    <row r="488" spans="1:13">
      <c r="A488" s="45"/>
      <c r="B488" s="45"/>
      <c r="C488" s="45"/>
      <c r="D488" s="45"/>
      <c r="E488" s="45"/>
      <c r="F488" s="45"/>
      <c r="G488" s="45"/>
      <c r="H488" s="45"/>
      <c r="L488" s="16"/>
      <c r="M488" s="16"/>
    </row>
    <row r="489" spans="1:13">
      <c r="A489" s="45"/>
      <c r="B489" s="45"/>
      <c r="C489" s="45"/>
      <c r="D489" s="45"/>
      <c r="E489" s="45"/>
      <c r="F489" s="45"/>
      <c r="G489" s="45"/>
      <c r="H489" s="45"/>
      <c r="L489" s="16"/>
      <c r="M489" s="16"/>
    </row>
    <row r="490" spans="1:13">
      <c r="A490" s="45"/>
      <c r="B490" s="45"/>
      <c r="C490" s="45"/>
      <c r="D490" s="45"/>
      <c r="E490" s="45"/>
      <c r="F490" s="45"/>
      <c r="G490" s="45"/>
      <c r="H490" s="45"/>
      <c r="L490" s="16"/>
      <c r="M490" s="16"/>
    </row>
    <row r="491" spans="1:13">
      <c r="A491" s="45"/>
      <c r="B491" s="45"/>
      <c r="C491" s="45"/>
      <c r="D491" s="45"/>
      <c r="E491" s="45"/>
      <c r="F491" s="45"/>
      <c r="G491" s="45"/>
      <c r="H491" s="45"/>
      <c r="L491" s="16"/>
      <c r="M491" s="16"/>
    </row>
    <row r="492" spans="1:13">
      <c r="A492" s="45"/>
      <c r="B492" s="45"/>
      <c r="C492" s="45"/>
      <c r="D492" s="45"/>
      <c r="E492" s="45"/>
      <c r="F492" s="45"/>
      <c r="G492" s="45"/>
      <c r="H492" s="45"/>
      <c r="L492" s="16"/>
      <c r="M492" s="16"/>
    </row>
    <row r="493" spans="1:13">
      <c r="A493" s="45"/>
      <c r="B493" s="45"/>
      <c r="C493" s="45"/>
      <c r="D493" s="45"/>
      <c r="E493" s="45"/>
      <c r="F493" s="45"/>
      <c r="G493" s="45"/>
      <c r="H493" s="45"/>
      <c r="L493" s="16"/>
      <c r="M493" s="16"/>
    </row>
    <row r="494" spans="1:13">
      <c r="A494" s="45"/>
      <c r="B494" s="45"/>
      <c r="C494" s="45"/>
      <c r="D494" s="45"/>
      <c r="E494" s="45"/>
      <c r="F494" s="45"/>
      <c r="G494" s="45"/>
      <c r="H494" s="45"/>
      <c r="L494" s="16"/>
      <c r="M494" s="16"/>
    </row>
    <row r="495" spans="1:13">
      <c r="A495" s="45"/>
      <c r="B495" s="45"/>
      <c r="C495" s="45"/>
      <c r="D495" s="45"/>
      <c r="E495" s="45"/>
      <c r="F495" s="45"/>
      <c r="G495" s="45"/>
      <c r="H495" s="45"/>
      <c r="L495" s="16"/>
      <c r="M495" s="16"/>
    </row>
    <row r="496" spans="1:13">
      <c r="A496" s="45"/>
      <c r="B496" s="45"/>
      <c r="C496" s="45"/>
      <c r="D496" s="45"/>
      <c r="E496" s="45"/>
      <c r="F496" s="45"/>
      <c r="G496" s="45"/>
      <c r="H496" s="45"/>
      <c r="L496" s="16"/>
      <c r="M496" s="16"/>
    </row>
    <row r="497" spans="1:13">
      <c r="A497" s="45"/>
      <c r="B497" s="45"/>
      <c r="C497" s="45"/>
      <c r="D497" s="45"/>
      <c r="E497" s="45"/>
      <c r="F497" s="45"/>
      <c r="G497" s="45"/>
      <c r="H497" s="45"/>
      <c r="L497" s="16"/>
      <c r="M497" s="16"/>
    </row>
    <row r="498" spans="1:13">
      <c r="A498" s="45"/>
      <c r="B498" s="45"/>
      <c r="C498" s="45"/>
      <c r="D498" s="45"/>
      <c r="E498" s="45"/>
      <c r="F498" s="45"/>
      <c r="G498" s="45"/>
      <c r="H498" s="45"/>
      <c r="L498" s="16"/>
      <c r="M498" s="16"/>
    </row>
    <row r="499" spans="1:13">
      <c r="A499" s="45"/>
      <c r="B499" s="45"/>
      <c r="C499" s="45"/>
      <c r="D499" s="45"/>
      <c r="E499" s="45"/>
      <c r="F499" s="45"/>
      <c r="G499" s="45"/>
      <c r="H499" s="45"/>
      <c r="L499" s="16"/>
      <c r="M499" s="16"/>
    </row>
    <row r="500" spans="1:13">
      <c r="A500" s="45"/>
      <c r="B500" s="45"/>
      <c r="C500" s="45"/>
      <c r="D500" s="45"/>
      <c r="E500" s="45"/>
      <c r="F500" s="45"/>
      <c r="G500" s="45"/>
      <c r="H500" s="45"/>
      <c r="L500" s="16"/>
      <c r="M500" s="16"/>
    </row>
    <row r="501" spans="1:13">
      <c r="A501" s="45"/>
      <c r="B501" s="45"/>
      <c r="C501" s="45"/>
      <c r="D501" s="45"/>
      <c r="E501" s="45"/>
      <c r="F501" s="45"/>
      <c r="G501" s="45"/>
      <c r="H501" s="45"/>
      <c r="L501" s="16"/>
      <c r="M501" s="16"/>
    </row>
    <row r="502" spans="1:13">
      <c r="A502" s="45"/>
      <c r="B502" s="45"/>
      <c r="C502" s="45"/>
      <c r="D502" s="45"/>
      <c r="E502" s="45"/>
      <c r="F502" s="45"/>
      <c r="G502" s="45"/>
      <c r="H502" s="45"/>
      <c r="L502" s="16"/>
      <c r="M502" s="16"/>
    </row>
    <row r="503" spans="1:13">
      <c r="A503" s="45"/>
      <c r="B503" s="45"/>
      <c r="C503" s="45"/>
      <c r="D503" s="45"/>
      <c r="E503" s="45"/>
      <c r="F503" s="45"/>
      <c r="G503" s="45"/>
      <c r="H503" s="45"/>
      <c r="L503" s="16"/>
      <c r="M503" s="16"/>
    </row>
    <row r="504" spans="1:13">
      <c r="A504" s="45"/>
      <c r="B504" s="45"/>
      <c r="C504" s="45"/>
      <c r="D504" s="45"/>
      <c r="E504" s="45"/>
      <c r="F504" s="45"/>
      <c r="G504" s="45"/>
      <c r="H504" s="45"/>
      <c r="L504" s="16"/>
      <c r="M504" s="16"/>
    </row>
    <row r="505" spans="1:13">
      <c r="A505" s="45"/>
      <c r="B505" s="45"/>
      <c r="C505" s="45"/>
      <c r="D505" s="45"/>
      <c r="E505" s="45"/>
      <c r="F505" s="45"/>
      <c r="G505" s="45"/>
      <c r="H505" s="45"/>
      <c r="L505" s="16"/>
      <c r="M505" s="16"/>
    </row>
    <row r="506" spans="1:13">
      <c r="A506" s="45"/>
      <c r="B506" s="45"/>
      <c r="C506" s="45"/>
      <c r="D506" s="45"/>
      <c r="E506" s="45"/>
      <c r="F506" s="45"/>
      <c r="G506" s="45"/>
      <c r="H506" s="45"/>
      <c r="L506" s="16"/>
      <c r="M506" s="16"/>
    </row>
    <row r="507" spans="1:13">
      <c r="A507" s="45"/>
      <c r="B507" s="45"/>
      <c r="C507" s="45"/>
      <c r="D507" s="45"/>
      <c r="E507" s="45"/>
      <c r="F507" s="45"/>
      <c r="G507" s="45"/>
      <c r="H507" s="45"/>
      <c r="L507" s="16"/>
      <c r="M507" s="16"/>
    </row>
    <row r="508" spans="1:13">
      <c r="A508" s="45"/>
      <c r="B508" s="45"/>
      <c r="C508" s="45"/>
      <c r="D508" s="45"/>
      <c r="E508" s="45"/>
      <c r="F508" s="45"/>
      <c r="G508" s="45"/>
      <c r="H508" s="45"/>
      <c r="L508" s="16"/>
      <c r="M508" s="16"/>
    </row>
    <row r="509" spans="1:13">
      <c r="A509" s="45"/>
      <c r="B509" s="45"/>
      <c r="C509" s="45"/>
      <c r="D509" s="45"/>
      <c r="E509" s="45"/>
      <c r="F509" s="45"/>
      <c r="G509" s="45"/>
      <c r="H509" s="45"/>
      <c r="L509" s="16"/>
      <c r="M509" s="16"/>
    </row>
    <row r="510" spans="1:13">
      <c r="A510" s="45"/>
      <c r="B510" s="45"/>
      <c r="C510" s="45"/>
      <c r="D510" s="45"/>
      <c r="E510" s="45"/>
      <c r="F510" s="45"/>
      <c r="G510" s="45"/>
      <c r="H510" s="45"/>
      <c r="L510" s="16"/>
      <c r="M510" s="16"/>
    </row>
    <row r="511" spans="1:13">
      <c r="A511" s="45"/>
      <c r="B511" s="45"/>
      <c r="C511" s="45"/>
      <c r="D511" s="45"/>
      <c r="E511" s="45"/>
      <c r="F511" s="45"/>
      <c r="G511" s="45"/>
      <c r="H511" s="45"/>
      <c r="L511" s="16"/>
      <c r="M511" s="16"/>
    </row>
    <row r="512" spans="1:13">
      <c r="A512" s="45"/>
      <c r="B512" s="45"/>
      <c r="C512" s="45"/>
      <c r="D512" s="45"/>
      <c r="E512" s="45"/>
      <c r="F512" s="45"/>
      <c r="G512" s="45"/>
      <c r="H512" s="45"/>
      <c r="L512" s="16"/>
      <c r="M512" s="16"/>
    </row>
    <row r="513" spans="1:13">
      <c r="A513" s="45"/>
      <c r="B513" s="45"/>
      <c r="C513" s="45"/>
      <c r="D513" s="45"/>
      <c r="E513" s="45"/>
      <c r="F513" s="45"/>
      <c r="G513" s="45"/>
      <c r="H513" s="45"/>
      <c r="L513" s="16"/>
      <c r="M513" s="16"/>
    </row>
    <row r="514" spans="1:13">
      <c r="A514" s="45"/>
      <c r="B514" s="45"/>
      <c r="C514" s="45"/>
      <c r="D514" s="45"/>
      <c r="E514" s="45"/>
      <c r="F514" s="45"/>
      <c r="G514" s="45"/>
      <c r="H514" s="45"/>
      <c r="L514" s="16"/>
      <c r="M514" s="16"/>
    </row>
    <row r="515" spans="1:13">
      <c r="A515" s="45"/>
      <c r="B515" s="45"/>
      <c r="C515" s="45"/>
      <c r="D515" s="45"/>
      <c r="E515" s="45"/>
      <c r="F515" s="45"/>
      <c r="G515" s="45"/>
      <c r="H515" s="45"/>
      <c r="L515" s="16"/>
      <c r="M515" s="16"/>
    </row>
    <row r="516" spans="1:13">
      <c r="A516" s="45"/>
      <c r="B516" s="45"/>
      <c r="C516" s="45"/>
      <c r="D516" s="45"/>
      <c r="E516" s="45"/>
      <c r="F516" s="45"/>
      <c r="G516" s="45"/>
      <c r="H516" s="45"/>
      <c r="L516" s="16"/>
      <c r="M516" s="16"/>
    </row>
    <row r="517" spans="1:13">
      <c r="A517" s="45"/>
      <c r="B517" s="45"/>
      <c r="C517" s="45"/>
      <c r="D517" s="45"/>
      <c r="E517" s="45"/>
      <c r="F517" s="45"/>
      <c r="G517" s="45"/>
      <c r="H517" s="45"/>
      <c r="L517" s="16"/>
      <c r="M517" s="16"/>
    </row>
    <row r="518" spans="1:13">
      <c r="A518" s="45"/>
      <c r="B518" s="45"/>
      <c r="C518" s="45"/>
      <c r="D518" s="45"/>
      <c r="E518" s="45"/>
      <c r="F518" s="45"/>
      <c r="G518" s="45"/>
      <c r="H518" s="45"/>
      <c r="L518" s="16"/>
      <c r="M518" s="16"/>
    </row>
    <row r="519" spans="1:13">
      <c r="A519" s="45"/>
      <c r="B519" s="45"/>
      <c r="C519" s="45"/>
      <c r="D519" s="45"/>
      <c r="E519" s="45"/>
      <c r="F519" s="45"/>
      <c r="G519" s="45"/>
      <c r="H519" s="45"/>
      <c r="L519" s="16"/>
      <c r="M519" s="16"/>
    </row>
    <row r="520" spans="1:13">
      <c r="A520" s="45"/>
      <c r="B520" s="45"/>
      <c r="C520" s="45"/>
      <c r="D520" s="45"/>
      <c r="E520" s="45"/>
      <c r="F520" s="45"/>
      <c r="G520" s="45"/>
      <c r="H520" s="45"/>
      <c r="L520" s="16"/>
      <c r="M520" s="16"/>
    </row>
    <row r="521" spans="1:13">
      <c r="A521" s="45"/>
      <c r="B521" s="45"/>
      <c r="C521" s="45"/>
      <c r="D521" s="45"/>
      <c r="E521" s="45"/>
      <c r="F521" s="45"/>
      <c r="G521" s="45"/>
      <c r="H521" s="45"/>
      <c r="L521" s="16"/>
      <c r="M521" s="16"/>
    </row>
    <row r="522" spans="1:13">
      <c r="A522" s="45"/>
      <c r="B522" s="45"/>
      <c r="C522" s="45"/>
      <c r="D522" s="45"/>
      <c r="E522" s="45"/>
      <c r="F522" s="45"/>
      <c r="G522" s="45"/>
      <c r="H522" s="45"/>
      <c r="L522" s="16"/>
      <c r="M522" s="16"/>
    </row>
    <row r="523" spans="1:13">
      <c r="A523" s="45"/>
      <c r="B523" s="45"/>
      <c r="C523" s="45"/>
      <c r="D523" s="45"/>
      <c r="E523" s="45"/>
      <c r="F523" s="45"/>
      <c r="G523" s="45"/>
      <c r="H523" s="45"/>
      <c r="L523" s="16"/>
      <c r="M523" s="16"/>
    </row>
    <row r="524" spans="1:13">
      <c r="A524" s="45"/>
      <c r="B524" s="45"/>
      <c r="C524" s="45"/>
      <c r="D524" s="45"/>
      <c r="E524" s="45"/>
      <c r="F524" s="45"/>
      <c r="G524" s="45"/>
      <c r="H524" s="45"/>
      <c r="L524" s="16"/>
      <c r="M524" s="16"/>
    </row>
    <row r="525" spans="1:13">
      <c r="A525" s="45"/>
      <c r="B525" s="45"/>
      <c r="C525" s="45"/>
      <c r="D525" s="45"/>
      <c r="E525" s="45"/>
      <c r="F525" s="45"/>
      <c r="G525" s="45"/>
      <c r="H525" s="45"/>
      <c r="L525" s="16"/>
      <c r="M525" s="16"/>
    </row>
    <row r="526" spans="1:13">
      <c r="A526" s="45"/>
      <c r="B526" s="45"/>
      <c r="C526" s="45"/>
      <c r="D526" s="45"/>
      <c r="E526" s="45"/>
      <c r="F526" s="45"/>
      <c r="G526" s="45"/>
      <c r="H526" s="45"/>
      <c r="L526" s="16"/>
      <c r="M526" s="16"/>
    </row>
    <row r="527" spans="1:13">
      <c r="A527" s="45"/>
      <c r="B527" s="45"/>
      <c r="C527" s="45"/>
      <c r="D527" s="45"/>
      <c r="E527" s="45"/>
      <c r="F527" s="45"/>
      <c r="G527" s="45"/>
      <c r="H527" s="45"/>
      <c r="L527" s="16"/>
      <c r="M527" s="16"/>
    </row>
    <row r="528" spans="1:13">
      <c r="A528" s="45"/>
      <c r="B528" s="45"/>
      <c r="C528" s="45"/>
      <c r="D528" s="45"/>
      <c r="E528" s="45"/>
      <c r="F528" s="45"/>
      <c r="G528" s="45"/>
      <c r="H528" s="45"/>
      <c r="L528" s="16"/>
      <c r="M528" s="16"/>
    </row>
    <row r="529" spans="1:13">
      <c r="A529" s="45"/>
      <c r="B529" s="45"/>
      <c r="C529" s="45"/>
      <c r="D529" s="45"/>
      <c r="E529" s="45"/>
      <c r="F529" s="45"/>
      <c r="G529" s="45"/>
      <c r="H529" s="45"/>
      <c r="L529" s="16"/>
      <c r="M529" s="16"/>
    </row>
    <row r="530" spans="1:13">
      <c r="A530" s="45"/>
      <c r="B530" s="45"/>
      <c r="C530" s="45"/>
      <c r="D530" s="45"/>
      <c r="E530" s="45"/>
      <c r="F530" s="45"/>
      <c r="G530" s="45"/>
      <c r="H530" s="45"/>
      <c r="L530" s="16"/>
      <c r="M530" s="16"/>
    </row>
    <row r="531" spans="1:13">
      <c r="A531" s="45"/>
      <c r="B531" s="45"/>
      <c r="C531" s="45"/>
      <c r="D531" s="45"/>
      <c r="E531" s="45"/>
      <c r="F531" s="45"/>
      <c r="G531" s="45"/>
      <c r="H531" s="45"/>
      <c r="L531" s="16"/>
      <c r="M531" s="16"/>
    </row>
    <row r="532" spans="1:13">
      <c r="A532" s="45"/>
      <c r="B532" s="45"/>
      <c r="C532" s="45"/>
      <c r="D532" s="45"/>
      <c r="E532" s="45"/>
      <c r="F532" s="45"/>
      <c r="G532" s="45"/>
      <c r="H532" s="45"/>
      <c r="L532" s="16"/>
      <c r="M532" s="16"/>
    </row>
    <row r="533" spans="1:13">
      <c r="A533" s="45"/>
      <c r="B533" s="45"/>
      <c r="C533" s="45"/>
      <c r="D533" s="45"/>
      <c r="E533" s="45"/>
      <c r="F533" s="45"/>
      <c r="G533" s="45"/>
      <c r="H533" s="45"/>
      <c r="L533" s="16"/>
      <c r="M533" s="16"/>
    </row>
    <row r="534" spans="1:13">
      <c r="A534" s="45"/>
      <c r="B534" s="45"/>
      <c r="C534" s="45"/>
      <c r="D534" s="45"/>
      <c r="E534" s="45"/>
      <c r="F534" s="45"/>
      <c r="G534" s="45"/>
      <c r="H534" s="45"/>
      <c r="L534" s="16"/>
      <c r="M534" s="16"/>
    </row>
    <row r="535" spans="1:13">
      <c r="A535" s="45"/>
      <c r="B535" s="45"/>
      <c r="C535" s="45"/>
      <c r="D535" s="45"/>
      <c r="E535" s="45"/>
      <c r="F535" s="45"/>
      <c r="G535" s="45"/>
      <c r="H535" s="45"/>
      <c r="L535" s="16"/>
      <c r="M535" s="16"/>
    </row>
    <row r="536" spans="1:13">
      <c r="A536" s="45"/>
      <c r="B536" s="45"/>
      <c r="C536" s="45"/>
      <c r="D536" s="45"/>
      <c r="E536" s="45"/>
      <c r="F536" s="45"/>
      <c r="G536" s="45"/>
      <c r="H536" s="45"/>
      <c r="L536" s="16"/>
      <c r="M536" s="16"/>
    </row>
    <row r="537" spans="1:13">
      <c r="A537" s="45"/>
      <c r="B537" s="45"/>
      <c r="C537" s="45"/>
      <c r="D537" s="45"/>
      <c r="E537" s="45"/>
      <c r="F537" s="45"/>
      <c r="G537" s="45"/>
      <c r="H537" s="45"/>
      <c r="L537" s="16"/>
      <c r="M537" s="16"/>
    </row>
    <row r="538" spans="1:13">
      <c r="A538" s="45"/>
      <c r="B538" s="45"/>
      <c r="C538" s="45"/>
      <c r="D538" s="45"/>
      <c r="E538" s="45"/>
      <c r="F538" s="45"/>
      <c r="G538" s="45"/>
      <c r="H538" s="45"/>
      <c r="L538" s="16"/>
      <c r="M538" s="16"/>
    </row>
    <row r="539" spans="1:13">
      <c r="A539" s="45"/>
      <c r="B539" s="45"/>
      <c r="C539" s="45"/>
      <c r="D539" s="45"/>
      <c r="E539" s="45"/>
      <c r="F539" s="45"/>
      <c r="G539" s="45"/>
      <c r="H539" s="45"/>
      <c r="L539" s="16"/>
      <c r="M539" s="16"/>
    </row>
    <row r="540" spans="1:13">
      <c r="A540" s="45"/>
      <c r="B540" s="45"/>
      <c r="C540" s="45"/>
      <c r="D540" s="45"/>
      <c r="E540" s="45"/>
      <c r="F540" s="45"/>
      <c r="G540" s="45"/>
      <c r="H540" s="45"/>
      <c r="L540" s="16"/>
      <c r="M540" s="16"/>
    </row>
    <row r="541" spans="1:13">
      <c r="A541" s="45"/>
      <c r="B541" s="45"/>
      <c r="C541" s="45"/>
      <c r="D541" s="45"/>
      <c r="E541" s="45"/>
      <c r="F541" s="45"/>
      <c r="G541" s="45"/>
      <c r="H541" s="45"/>
      <c r="L541" s="16"/>
      <c r="M541" s="16"/>
    </row>
    <row r="542" spans="1:13">
      <c r="A542" s="45"/>
      <c r="B542" s="45"/>
      <c r="C542" s="45"/>
      <c r="D542" s="45"/>
      <c r="E542" s="45"/>
      <c r="F542" s="45"/>
      <c r="G542" s="45"/>
      <c r="H542" s="45"/>
      <c r="L542" s="16"/>
      <c r="M542" s="16"/>
    </row>
    <row r="543" spans="1:13">
      <c r="A543" s="45"/>
      <c r="B543" s="45"/>
      <c r="C543" s="45"/>
      <c r="D543" s="45"/>
      <c r="E543" s="45"/>
      <c r="F543" s="45"/>
      <c r="G543" s="45"/>
      <c r="H543" s="45"/>
      <c r="L543" s="16"/>
      <c r="M543" s="16"/>
    </row>
    <row r="544" spans="1:13">
      <c r="A544" s="45"/>
      <c r="B544" s="45"/>
      <c r="C544" s="45"/>
      <c r="D544" s="45"/>
      <c r="E544" s="45"/>
      <c r="F544" s="45"/>
      <c r="G544" s="45"/>
      <c r="H544" s="45"/>
      <c r="L544" s="16"/>
      <c r="M544" s="16"/>
    </row>
    <row r="545" spans="1:13">
      <c r="A545" s="45"/>
      <c r="B545" s="45"/>
      <c r="C545" s="45"/>
      <c r="D545" s="45"/>
      <c r="E545" s="45"/>
      <c r="F545" s="45"/>
      <c r="G545" s="45"/>
      <c r="H545" s="45"/>
      <c r="L545" s="16"/>
      <c r="M545" s="16"/>
    </row>
    <row r="546" spans="1:13">
      <c r="A546" s="45"/>
      <c r="B546" s="45"/>
      <c r="C546" s="45"/>
      <c r="D546" s="45"/>
      <c r="E546" s="45"/>
      <c r="F546" s="45"/>
      <c r="G546" s="45"/>
      <c r="H546" s="45"/>
      <c r="L546" s="16"/>
      <c r="M546" s="16"/>
    </row>
    <row r="547" spans="1:13">
      <c r="A547" s="45"/>
      <c r="B547" s="45"/>
      <c r="C547" s="45"/>
      <c r="D547" s="45"/>
      <c r="E547" s="45"/>
      <c r="F547" s="45"/>
      <c r="G547" s="45"/>
      <c r="H547" s="45"/>
      <c r="L547" s="16"/>
      <c r="M547" s="16"/>
    </row>
    <row r="548" spans="1:13">
      <c r="A548" s="45"/>
      <c r="B548" s="45"/>
      <c r="C548" s="45"/>
      <c r="D548" s="45"/>
      <c r="E548" s="45"/>
      <c r="F548" s="45"/>
      <c r="G548" s="45"/>
      <c r="H548" s="45"/>
      <c r="L548" s="16"/>
      <c r="M548" s="16"/>
    </row>
    <row r="549" spans="1:13">
      <c r="A549" s="45"/>
      <c r="B549" s="45"/>
      <c r="C549" s="45"/>
      <c r="D549" s="45"/>
      <c r="E549" s="45"/>
      <c r="F549" s="45"/>
      <c r="G549" s="45"/>
      <c r="H549" s="45"/>
      <c r="L549" s="16"/>
      <c r="M549" s="16"/>
    </row>
    <row r="550" spans="1:13">
      <c r="A550" s="45"/>
      <c r="B550" s="45"/>
      <c r="C550" s="45"/>
      <c r="D550" s="45"/>
      <c r="E550" s="45"/>
      <c r="F550" s="45"/>
      <c r="G550" s="45"/>
      <c r="H550" s="45"/>
      <c r="L550" s="16"/>
      <c r="M550" s="16"/>
    </row>
    <row r="551" spans="1:13">
      <c r="A551" s="45"/>
      <c r="B551" s="45"/>
      <c r="C551" s="45"/>
      <c r="D551" s="45"/>
      <c r="E551" s="45"/>
      <c r="F551" s="45"/>
      <c r="G551" s="45"/>
      <c r="H551" s="45"/>
      <c r="L551" s="16"/>
      <c r="M551" s="16"/>
    </row>
    <row r="552" spans="1:13">
      <c r="A552" s="45"/>
      <c r="B552" s="45"/>
      <c r="C552" s="45"/>
      <c r="D552" s="45"/>
      <c r="E552" s="45"/>
      <c r="F552" s="45"/>
      <c r="G552" s="45"/>
      <c r="H552" s="45"/>
      <c r="L552" s="16"/>
      <c r="M552" s="16"/>
    </row>
    <row r="553" spans="1:13">
      <c r="A553" s="45"/>
      <c r="B553" s="45"/>
      <c r="C553" s="45"/>
      <c r="D553" s="45"/>
      <c r="E553" s="45"/>
      <c r="F553" s="45"/>
      <c r="G553" s="45"/>
      <c r="H553" s="45"/>
      <c r="L553" s="16"/>
      <c r="M553" s="16"/>
    </row>
    <row r="554" spans="1:13">
      <c r="A554" s="45"/>
      <c r="B554" s="45"/>
      <c r="C554" s="45"/>
      <c r="D554" s="45"/>
      <c r="E554" s="45"/>
      <c r="F554" s="45"/>
      <c r="G554" s="45"/>
      <c r="H554" s="45"/>
      <c r="L554" s="16"/>
      <c r="M554" s="16"/>
    </row>
    <row r="555" spans="1:13">
      <c r="A555" s="45"/>
      <c r="B555" s="45"/>
      <c r="C555" s="45"/>
      <c r="D555" s="45"/>
      <c r="E555" s="45"/>
      <c r="F555" s="45"/>
      <c r="G555" s="45"/>
      <c r="H555" s="45"/>
      <c r="L555" s="16"/>
      <c r="M555" s="16"/>
    </row>
    <row r="556" spans="1:13">
      <c r="A556" s="45"/>
      <c r="B556" s="45"/>
      <c r="C556" s="45"/>
      <c r="D556" s="45"/>
      <c r="E556" s="45"/>
      <c r="F556" s="45"/>
      <c r="G556" s="45"/>
      <c r="H556" s="45"/>
      <c r="L556" s="16"/>
      <c r="M556" s="16"/>
    </row>
    <row r="557" spans="1:13">
      <c r="A557" s="45"/>
      <c r="B557" s="45"/>
      <c r="C557" s="45"/>
      <c r="D557" s="45"/>
      <c r="E557" s="45"/>
      <c r="F557" s="45"/>
      <c r="G557" s="45"/>
      <c r="H557" s="45"/>
      <c r="L557" s="16"/>
      <c r="M557" s="16"/>
    </row>
    <row r="558" spans="1:13">
      <c r="A558" s="45"/>
      <c r="B558" s="45"/>
      <c r="C558" s="45"/>
      <c r="D558" s="45"/>
      <c r="E558" s="45"/>
      <c r="F558" s="45"/>
      <c r="G558" s="45"/>
      <c r="H558" s="45"/>
      <c r="L558" s="16"/>
      <c r="M558" s="16"/>
    </row>
    <row r="559" spans="1:13">
      <c r="A559" s="45"/>
      <c r="B559" s="45"/>
      <c r="C559" s="45"/>
      <c r="D559" s="45"/>
      <c r="E559" s="45"/>
      <c r="F559" s="45"/>
      <c r="G559" s="45"/>
      <c r="H559" s="45"/>
      <c r="L559" s="16"/>
      <c r="M559" s="16"/>
    </row>
    <row r="560" spans="1:13">
      <c r="A560" s="45"/>
      <c r="B560" s="45"/>
      <c r="C560" s="45"/>
      <c r="D560" s="45"/>
      <c r="E560" s="45"/>
      <c r="F560" s="45"/>
      <c r="G560" s="45"/>
      <c r="H560" s="45"/>
      <c r="L560" s="16"/>
      <c r="M560" s="16"/>
    </row>
    <row r="561" spans="1:13">
      <c r="A561" s="45"/>
      <c r="B561" s="45"/>
      <c r="C561" s="45"/>
      <c r="D561" s="45"/>
      <c r="E561" s="45"/>
      <c r="F561" s="45"/>
      <c r="G561" s="45"/>
      <c r="H561" s="45"/>
      <c r="L561" s="16"/>
      <c r="M561" s="16"/>
    </row>
    <row r="562" spans="1:13">
      <c r="A562" s="45"/>
      <c r="B562" s="45"/>
      <c r="C562" s="45"/>
      <c r="D562" s="45"/>
      <c r="E562" s="45"/>
      <c r="F562" s="45"/>
      <c r="G562" s="45"/>
      <c r="H562" s="45"/>
      <c r="L562" s="16"/>
      <c r="M562" s="16"/>
    </row>
    <row r="563" spans="1:13">
      <c r="A563" s="45"/>
      <c r="B563" s="45"/>
      <c r="C563" s="45"/>
      <c r="D563" s="45"/>
      <c r="E563" s="45"/>
      <c r="F563" s="45"/>
      <c r="G563" s="45"/>
      <c r="H563" s="45"/>
      <c r="L563" s="16"/>
      <c r="M563" s="16"/>
    </row>
    <row r="564" spans="1:13">
      <c r="A564" s="45"/>
      <c r="B564" s="45"/>
      <c r="C564" s="45"/>
      <c r="D564" s="45"/>
      <c r="E564" s="45"/>
      <c r="F564" s="45"/>
      <c r="G564" s="45"/>
      <c r="H564" s="45"/>
      <c r="L564" s="16"/>
      <c r="M564" s="16"/>
    </row>
    <row r="565" spans="1:13">
      <c r="A565" s="45"/>
      <c r="B565" s="45"/>
      <c r="C565" s="45"/>
      <c r="D565" s="45"/>
      <c r="E565" s="45"/>
      <c r="F565" s="45"/>
      <c r="G565" s="45"/>
      <c r="H565" s="45"/>
      <c r="L565" s="16"/>
      <c r="M565" s="16"/>
    </row>
    <row r="566" spans="1:13">
      <c r="A566" s="45"/>
      <c r="B566" s="45"/>
      <c r="C566" s="45"/>
      <c r="D566" s="45"/>
      <c r="E566" s="45"/>
      <c r="F566" s="45"/>
      <c r="G566" s="45"/>
      <c r="H566" s="45"/>
      <c r="L566" s="16"/>
      <c r="M566" s="16"/>
    </row>
    <row r="567" spans="1:13">
      <c r="A567" s="45"/>
      <c r="B567" s="45"/>
      <c r="C567" s="45"/>
      <c r="D567" s="45"/>
      <c r="E567" s="45"/>
      <c r="F567" s="45"/>
      <c r="G567" s="45"/>
      <c r="H567" s="45"/>
      <c r="L567" s="16"/>
      <c r="M567" s="16"/>
    </row>
    <row r="568" spans="1:13">
      <c r="A568" s="45"/>
      <c r="B568" s="45"/>
      <c r="C568" s="45"/>
      <c r="D568" s="45"/>
      <c r="E568" s="45"/>
      <c r="F568" s="45"/>
      <c r="G568" s="45"/>
      <c r="H568" s="45"/>
      <c r="L568" s="16"/>
      <c r="M568" s="16"/>
    </row>
    <row r="569" spans="1:13">
      <c r="A569" s="45"/>
      <c r="B569" s="45"/>
      <c r="C569" s="45"/>
      <c r="D569" s="45"/>
      <c r="E569" s="45"/>
      <c r="F569" s="45"/>
      <c r="G569" s="45"/>
      <c r="H569" s="45"/>
      <c r="L569" s="16"/>
      <c r="M569" s="16"/>
    </row>
    <row r="570" spans="1:13">
      <c r="A570" s="45"/>
      <c r="B570" s="45"/>
      <c r="C570" s="45"/>
      <c r="D570" s="45"/>
      <c r="E570" s="45"/>
      <c r="F570" s="45"/>
      <c r="G570" s="45"/>
      <c r="H570" s="45"/>
      <c r="L570" s="16"/>
      <c r="M570" s="16"/>
    </row>
    <row r="571" spans="1:13">
      <c r="A571" s="45"/>
      <c r="B571" s="45"/>
      <c r="C571" s="45"/>
      <c r="D571" s="45"/>
      <c r="E571" s="45"/>
      <c r="F571" s="45"/>
      <c r="G571" s="45"/>
      <c r="H571" s="45"/>
      <c r="L571" s="16"/>
      <c r="M571" s="16"/>
    </row>
    <row r="572" spans="1:13">
      <c r="A572" s="45"/>
      <c r="B572" s="45"/>
      <c r="C572" s="45"/>
      <c r="D572" s="45"/>
      <c r="E572" s="45"/>
      <c r="F572" s="45"/>
      <c r="G572" s="45"/>
      <c r="H572" s="45"/>
      <c r="L572" s="16"/>
      <c r="M572" s="16"/>
    </row>
    <row r="573" spans="1:13">
      <c r="A573" s="45"/>
      <c r="B573" s="45"/>
      <c r="C573" s="45"/>
      <c r="D573" s="45"/>
      <c r="E573" s="45"/>
      <c r="F573" s="45"/>
      <c r="G573" s="45"/>
      <c r="H573" s="45"/>
      <c r="L573" s="16"/>
      <c r="M573" s="16"/>
    </row>
    <row r="574" spans="1:13">
      <c r="A574" s="45"/>
      <c r="B574" s="45"/>
      <c r="C574" s="45"/>
      <c r="D574" s="45"/>
      <c r="E574" s="45"/>
      <c r="F574" s="45"/>
      <c r="G574" s="45"/>
      <c r="H574" s="45"/>
      <c r="L574" s="16"/>
      <c r="M574" s="16"/>
    </row>
    <row r="575" spans="1:13">
      <c r="A575" s="45"/>
      <c r="B575" s="45"/>
      <c r="C575" s="45"/>
      <c r="D575" s="45"/>
      <c r="E575" s="45"/>
      <c r="F575" s="45"/>
      <c r="G575" s="45"/>
      <c r="H575" s="45"/>
      <c r="L575" s="16"/>
      <c r="M575" s="16"/>
    </row>
    <row r="576" spans="1:13">
      <c r="A576" s="45"/>
      <c r="B576" s="45"/>
      <c r="C576" s="45"/>
      <c r="D576" s="45"/>
      <c r="E576" s="45"/>
      <c r="F576" s="45"/>
      <c r="G576" s="45"/>
      <c r="H576" s="45"/>
      <c r="L576" s="16"/>
      <c r="M576" s="16"/>
    </row>
    <row r="577" spans="1:13">
      <c r="A577" s="45"/>
      <c r="B577" s="45"/>
      <c r="C577" s="45"/>
      <c r="D577" s="45"/>
      <c r="E577" s="45"/>
      <c r="F577" s="45"/>
      <c r="G577" s="45"/>
      <c r="H577" s="45"/>
      <c r="L577" s="16"/>
      <c r="M577" s="16"/>
    </row>
    <row r="578" spans="1:13">
      <c r="A578" s="45"/>
      <c r="B578" s="45"/>
      <c r="C578" s="45"/>
      <c r="D578" s="45"/>
      <c r="E578" s="45"/>
      <c r="F578" s="45"/>
      <c r="G578" s="45"/>
      <c r="H578" s="45"/>
      <c r="L578" s="16"/>
      <c r="M578" s="16"/>
    </row>
    <row r="579" spans="1:13">
      <c r="A579" s="45"/>
      <c r="B579" s="45"/>
      <c r="C579" s="45"/>
      <c r="D579" s="45"/>
      <c r="E579" s="45"/>
      <c r="F579" s="45"/>
      <c r="G579" s="45"/>
      <c r="H579" s="45"/>
      <c r="L579" s="16"/>
      <c r="M579" s="16"/>
    </row>
    <row r="580" spans="1:13">
      <c r="A580" s="45"/>
      <c r="B580" s="45"/>
      <c r="C580" s="45"/>
      <c r="D580" s="45"/>
      <c r="E580" s="45"/>
      <c r="F580" s="45"/>
      <c r="G580" s="45"/>
      <c r="H580" s="45"/>
      <c r="L580" s="16"/>
      <c r="M580" s="16"/>
    </row>
    <row r="581" spans="1:13">
      <c r="A581" s="45"/>
      <c r="B581" s="45"/>
      <c r="C581" s="45"/>
      <c r="D581" s="45"/>
      <c r="E581" s="45"/>
      <c r="F581" s="45"/>
      <c r="G581" s="45"/>
      <c r="H581" s="45"/>
      <c r="L581" s="16"/>
      <c r="M581" s="16"/>
    </row>
    <row r="582" spans="1:13">
      <c r="A582" s="45"/>
      <c r="B582" s="45"/>
      <c r="C582" s="45"/>
      <c r="D582" s="45"/>
      <c r="E582" s="45"/>
      <c r="F582" s="45"/>
      <c r="G582" s="45"/>
      <c r="H582" s="45"/>
      <c r="L582" s="16"/>
      <c r="M582" s="16"/>
    </row>
    <row r="583" spans="1:13">
      <c r="A583" s="45"/>
      <c r="B583" s="45"/>
      <c r="C583" s="45"/>
      <c r="D583" s="45"/>
      <c r="E583" s="45"/>
      <c r="F583" s="45"/>
      <c r="G583" s="45"/>
      <c r="H583" s="45"/>
      <c r="L583" s="16"/>
      <c r="M583" s="16"/>
    </row>
    <row r="584" spans="1:13">
      <c r="A584" s="45"/>
      <c r="B584" s="45"/>
      <c r="C584" s="45"/>
      <c r="D584" s="45"/>
      <c r="E584" s="45"/>
      <c r="F584" s="45"/>
      <c r="G584" s="45"/>
      <c r="H584" s="45"/>
      <c r="L584" s="16"/>
      <c r="M584" s="16"/>
    </row>
    <row r="585" spans="1:13">
      <c r="A585" s="45"/>
      <c r="B585" s="45"/>
      <c r="C585" s="45"/>
      <c r="D585" s="45"/>
      <c r="E585" s="45"/>
      <c r="F585" s="45"/>
      <c r="G585" s="45"/>
      <c r="H585" s="45"/>
      <c r="L585" s="16"/>
      <c r="M585" s="16"/>
    </row>
    <row r="586" spans="1:13">
      <c r="A586" s="45"/>
      <c r="B586" s="45"/>
      <c r="C586" s="45"/>
      <c r="D586" s="45"/>
      <c r="E586" s="45"/>
      <c r="F586" s="45"/>
      <c r="G586" s="45"/>
      <c r="H586" s="45"/>
      <c r="L586" s="16"/>
      <c r="M586" s="16"/>
    </row>
    <row r="587" spans="1:13">
      <c r="A587" s="45"/>
      <c r="B587" s="45"/>
      <c r="C587" s="45"/>
      <c r="D587" s="45"/>
      <c r="E587" s="45"/>
      <c r="F587" s="45"/>
      <c r="G587" s="45"/>
      <c r="H587" s="45"/>
      <c r="L587" s="16"/>
      <c r="M587" s="16"/>
    </row>
    <row r="588" spans="1:13">
      <c r="A588" s="45"/>
      <c r="B588" s="45"/>
      <c r="C588" s="45"/>
      <c r="D588" s="45"/>
      <c r="E588" s="45"/>
      <c r="F588" s="45"/>
      <c r="G588" s="45"/>
      <c r="H588" s="45"/>
      <c r="L588" s="16"/>
      <c r="M588" s="16"/>
    </row>
    <row r="589" spans="1:13">
      <c r="A589" s="45"/>
      <c r="B589" s="45"/>
      <c r="C589" s="45"/>
      <c r="D589" s="45"/>
      <c r="E589" s="45"/>
      <c r="F589" s="45"/>
      <c r="G589" s="45"/>
      <c r="H589" s="45"/>
      <c r="L589" s="16"/>
      <c r="M589" s="16"/>
    </row>
    <row r="590" spans="1:13">
      <c r="A590" s="45"/>
      <c r="B590" s="45"/>
      <c r="C590" s="45"/>
      <c r="D590" s="45"/>
      <c r="E590" s="45"/>
      <c r="F590" s="45"/>
      <c r="G590" s="45"/>
      <c r="H590" s="45"/>
      <c r="L590" s="16"/>
      <c r="M590" s="16"/>
    </row>
    <row r="591" spans="1:13">
      <c r="A591" s="45"/>
      <c r="B591" s="45"/>
      <c r="C591" s="45"/>
      <c r="D591" s="45"/>
      <c r="E591" s="45"/>
      <c r="F591" s="45"/>
      <c r="G591" s="45"/>
      <c r="H591" s="45"/>
      <c r="L591" s="16"/>
      <c r="M591" s="16"/>
    </row>
    <row r="592" spans="1:13">
      <c r="A592" s="45"/>
      <c r="B592" s="45"/>
      <c r="C592" s="45"/>
      <c r="D592" s="45"/>
      <c r="E592" s="45"/>
      <c r="F592" s="45"/>
      <c r="G592" s="45"/>
      <c r="H592" s="45"/>
      <c r="L592" s="16"/>
      <c r="M592" s="16"/>
    </row>
    <row r="593" spans="1:13">
      <c r="A593" s="45"/>
      <c r="B593" s="45"/>
      <c r="C593" s="45"/>
      <c r="D593" s="45"/>
      <c r="E593" s="45"/>
      <c r="F593" s="45"/>
      <c r="G593" s="45"/>
      <c r="H593" s="45"/>
      <c r="L593" s="16"/>
      <c r="M593" s="16"/>
    </row>
    <row r="594" spans="1:13">
      <c r="A594" s="45"/>
      <c r="B594" s="45"/>
      <c r="C594" s="45"/>
      <c r="D594" s="45"/>
      <c r="E594" s="45"/>
      <c r="F594" s="45"/>
      <c r="G594" s="45"/>
      <c r="H594" s="45"/>
      <c r="L594" s="16"/>
      <c r="M594" s="16"/>
    </row>
    <row r="595" spans="1:13">
      <c r="A595" s="45"/>
      <c r="B595" s="45"/>
      <c r="C595" s="45"/>
      <c r="D595" s="45"/>
      <c r="E595" s="45"/>
      <c r="F595" s="45"/>
      <c r="G595" s="45"/>
      <c r="H595" s="45"/>
      <c r="L595" s="16"/>
      <c r="M595" s="16"/>
    </row>
    <row r="596" spans="1:13">
      <c r="A596" s="45"/>
      <c r="B596" s="45"/>
      <c r="C596" s="45"/>
      <c r="D596" s="45"/>
      <c r="E596" s="45"/>
      <c r="F596" s="45"/>
      <c r="G596" s="45"/>
      <c r="H596" s="45"/>
      <c r="L596" s="16"/>
      <c r="M596" s="16"/>
    </row>
    <row r="597" spans="1:13">
      <c r="A597" s="45"/>
      <c r="B597" s="45"/>
      <c r="C597" s="45"/>
      <c r="D597" s="45"/>
      <c r="E597" s="45"/>
      <c r="F597" s="45"/>
      <c r="G597" s="45"/>
      <c r="H597" s="45"/>
      <c r="L597" s="16"/>
      <c r="M597" s="16"/>
    </row>
    <row r="598" spans="1:13">
      <c r="A598" s="45"/>
      <c r="B598" s="45"/>
      <c r="C598" s="45"/>
      <c r="D598" s="45"/>
      <c r="E598" s="45"/>
      <c r="F598" s="45"/>
      <c r="G598" s="45"/>
      <c r="H598" s="45"/>
      <c r="L598" s="16"/>
      <c r="M598" s="16"/>
    </row>
    <row r="599" spans="1:13">
      <c r="A599" s="45"/>
      <c r="B599" s="45"/>
      <c r="C599" s="45"/>
      <c r="D599" s="45"/>
      <c r="E599" s="45"/>
      <c r="F599" s="45"/>
      <c r="G599" s="45"/>
      <c r="H599" s="45"/>
      <c r="L599" s="16"/>
      <c r="M599" s="16"/>
    </row>
    <row r="600" spans="1:13">
      <c r="A600" s="45"/>
      <c r="B600" s="45"/>
      <c r="C600" s="45"/>
      <c r="D600" s="45"/>
      <c r="E600" s="45"/>
      <c r="F600" s="45"/>
      <c r="G600" s="45"/>
      <c r="H600" s="45"/>
      <c r="L600" s="16"/>
      <c r="M600" s="16"/>
    </row>
    <row r="601" spans="1:13">
      <c r="A601" s="45"/>
      <c r="B601" s="45"/>
      <c r="C601" s="45"/>
      <c r="D601" s="45"/>
      <c r="E601" s="45"/>
      <c r="F601" s="45"/>
      <c r="G601" s="45"/>
      <c r="H601" s="45"/>
      <c r="L601" s="16"/>
      <c r="M601" s="16"/>
    </row>
    <row r="602" spans="1:13">
      <c r="A602" s="45"/>
      <c r="B602" s="45"/>
      <c r="C602" s="45"/>
      <c r="D602" s="45"/>
      <c r="E602" s="45"/>
      <c r="F602" s="45"/>
      <c r="G602" s="45"/>
      <c r="H602" s="45"/>
      <c r="L602" s="16"/>
      <c r="M602" s="16"/>
    </row>
    <row r="603" spans="1:13">
      <c r="A603" s="45"/>
      <c r="B603" s="45"/>
      <c r="C603" s="45"/>
      <c r="D603" s="45"/>
      <c r="E603" s="45"/>
      <c r="F603" s="45"/>
      <c r="G603" s="45"/>
      <c r="H603" s="45"/>
      <c r="L603" s="16"/>
      <c r="M603" s="16"/>
    </row>
    <row r="604" spans="1:13">
      <c r="A604" s="45"/>
      <c r="B604" s="45"/>
      <c r="C604" s="45"/>
      <c r="D604" s="45"/>
      <c r="E604" s="45"/>
      <c r="F604" s="45"/>
      <c r="G604" s="45"/>
      <c r="H604" s="45"/>
      <c r="L604" s="16"/>
      <c r="M604" s="16"/>
    </row>
    <row r="605" spans="1:13">
      <c r="A605" s="45"/>
      <c r="B605" s="45"/>
      <c r="C605" s="45"/>
      <c r="D605" s="45"/>
      <c r="E605" s="45"/>
      <c r="F605" s="45"/>
      <c r="G605" s="45"/>
      <c r="H605" s="45"/>
      <c r="L605" s="16"/>
      <c r="M605" s="16"/>
    </row>
    <row r="606" spans="1:13">
      <c r="A606" s="45"/>
      <c r="B606" s="45"/>
      <c r="C606" s="45"/>
      <c r="D606" s="45"/>
      <c r="E606" s="45"/>
      <c r="F606" s="45"/>
      <c r="G606" s="45"/>
      <c r="H606" s="45"/>
      <c r="L606" s="16"/>
      <c r="M606" s="16"/>
    </row>
    <row r="607" spans="1:13">
      <c r="A607" s="45"/>
      <c r="B607" s="45"/>
      <c r="C607" s="45"/>
      <c r="D607" s="45"/>
      <c r="E607" s="45"/>
      <c r="F607" s="45"/>
      <c r="G607" s="45"/>
      <c r="H607" s="45"/>
      <c r="L607" s="16"/>
      <c r="M607" s="16"/>
    </row>
    <row r="608" spans="1:13">
      <c r="A608" s="45"/>
      <c r="B608" s="45"/>
      <c r="C608" s="45"/>
      <c r="D608" s="45"/>
      <c r="E608" s="45"/>
      <c r="F608" s="45"/>
      <c r="G608" s="45"/>
      <c r="H608" s="45"/>
      <c r="L608" s="16"/>
      <c r="M608" s="16"/>
    </row>
    <row r="609" spans="1:13">
      <c r="A609" s="45"/>
      <c r="B609" s="45"/>
      <c r="C609" s="45"/>
      <c r="D609" s="45"/>
      <c r="E609" s="45"/>
      <c r="F609" s="45"/>
      <c r="G609" s="45"/>
      <c r="H609" s="45"/>
      <c r="L609" s="16"/>
      <c r="M609" s="16"/>
    </row>
    <row r="610" spans="1:13">
      <c r="A610" s="45"/>
      <c r="B610" s="45"/>
      <c r="C610" s="45"/>
      <c r="D610" s="45"/>
      <c r="E610" s="45"/>
      <c r="F610" s="45"/>
      <c r="G610" s="45"/>
      <c r="H610" s="45"/>
      <c r="L610" s="16"/>
      <c r="M610" s="16"/>
    </row>
    <row r="611" spans="1:13">
      <c r="A611" s="45"/>
      <c r="B611" s="45"/>
      <c r="C611" s="45"/>
      <c r="D611" s="45"/>
      <c r="E611" s="45"/>
      <c r="F611" s="45"/>
      <c r="G611" s="45"/>
      <c r="H611" s="45"/>
      <c r="L611" s="16"/>
      <c r="M611" s="16"/>
    </row>
    <row r="612" spans="1:13">
      <c r="A612" s="45"/>
      <c r="B612" s="45"/>
      <c r="C612" s="45"/>
      <c r="D612" s="45"/>
      <c r="E612" s="45"/>
      <c r="F612" s="45"/>
      <c r="G612" s="45"/>
      <c r="H612" s="45"/>
      <c r="L612" s="16"/>
      <c r="M612" s="16"/>
    </row>
    <row r="613" spans="1:13">
      <c r="A613" s="45"/>
      <c r="B613" s="45"/>
      <c r="C613" s="45"/>
      <c r="D613" s="45"/>
      <c r="E613" s="45"/>
      <c r="F613" s="45"/>
      <c r="G613" s="45"/>
      <c r="H613" s="45"/>
      <c r="L613" s="16"/>
      <c r="M613" s="16"/>
    </row>
    <row r="614" spans="1:13">
      <c r="A614" s="45"/>
      <c r="B614" s="45"/>
      <c r="C614" s="45"/>
      <c r="D614" s="45"/>
      <c r="E614" s="45"/>
      <c r="F614" s="45"/>
      <c r="G614" s="45"/>
      <c r="H614" s="45"/>
      <c r="L614" s="16"/>
      <c r="M614" s="16"/>
    </row>
    <row r="615" spans="1:13">
      <c r="A615" s="45"/>
      <c r="B615" s="45"/>
      <c r="C615" s="45"/>
      <c r="D615" s="45"/>
      <c r="E615" s="45"/>
      <c r="F615" s="45"/>
      <c r="G615" s="45"/>
      <c r="H615" s="45"/>
      <c r="L615" s="16"/>
      <c r="M615" s="16"/>
    </row>
    <row r="616" spans="1:13">
      <c r="A616" s="45"/>
      <c r="B616" s="45"/>
      <c r="C616" s="45"/>
      <c r="D616" s="45"/>
      <c r="E616" s="45"/>
      <c r="F616" s="45"/>
      <c r="G616" s="45"/>
      <c r="H616" s="45"/>
      <c r="L616" s="16"/>
      <c r="M616" s="16"/>
    </row>
    <row r="617" spans="1:13">
      <c r="A617" s="45"/>
      <c r="B617" s="45"/>
      <c r="C617" s="45"/>
      <c r="D617" s="45"/>
      <c r="E617" s="45"/>
      <c r="F617" s="45"/>
      <c r="G617" s="45"/>
      <c r="H617" s="45"/>
      <c r="L617" s="16"/>
      <c r="M617" s="16"/>
    </row>
    <row r="618" spans="1:13">
      <c r="A618" s="45"/>
      <c r="B618" s="45"/>
      <c r="C618" s="45"/>
      <c r="D618" s="45"/>
      <c r="E618" s="45"/>
      <c r="F618" s="45"/>
      <c r="G618" s="45"/>
      <c r="H618" s="45"/>
      <c r="L618" s="16"/>
      <c r="M618" s="16"/>
    </row>
    <row r="619" spans="1:13">
      <c r="A619" s="45"/>
      <c r="B619" s="45"/>
      <c r="C619" s="45"/>
      <c r="D619" s="45"/>
      <c r="E619" s="45"/>
      <c r="F619" s="45"/>
      <c r="G619" s="45"/>
      <c r="H619" s="45"/>
      <c r="L619" s="16"/>
      <c r="M619" s="16"/>
    </row>
    <row r="620" spans="1:13">
      <c r="A620" s="45"/>
      <c r="B620" s="45"/>
      <c r="C620" s="45"/>
      <c r="D620" s="45"/>
      <c r="E620" s="45"/>
      <c r="F620" s="45"/>
      <c r="G620" s="45"/>
      <c r="H620" s="45"/>
      <c r="L620" s="16"/>
      <c r="M620" s="16"/>
    </row>
    <row r="621" spans="1:13">
      <c r="A621" s="45"/>
      <c r="B621" s="45"/>
      <c r="C621" s="45"/>
      <c r="D621" s="45"/>
      <c r="E621" s="45"/>
      <c r="F621" s="45"/>
      <c r="G621" s="45"/>
      <c r="H621" s="45"/>
      <c r="L621" s="16"/>
      <c r="M621" s="16"/>
    </row>
    <row r="622" spans="1:13">
      <c r="A622" s="45"/>
      <c r="B622" s="45"/>
      <c r="C622" s="45"/>
      <c r="D622" s="45"/>
      <c r="E622" s="45"/>
      <c r="F622" s="45"/>
      <c r="G622" s="45"/>
      <c r="H622" s="45"/>
      <c r="L622" s="16"/>
      <c r="M622" s="16"/>
    </row>
    <row r="623" spans="1:13">
      <c r="A623" s="45"/>
      <c r="B623" s="45"/>
      <c r="C623" s="45"/>
      <c r="D623" s="45"/>
      <c r="E623" s="45"/>
      <c r="F623" s="45"/>
      <c r="G623" s="45"/>
      <c r="H623" s="45"/>
      <c r="L623" s="16"/>
      <c r="M623" s="16"/>
    </row>
    <row r="624" spans="1:13">
      <c r="A624" s="45"/>
      <c r="B624" s="45"/>
      <c r="C624" s="45"/>
      <c r="D624" s="45"/>
      <c r="E624" s="45"/>
      <c r="F624" s="45"/>
      <c r="G624" s="45"/>
      <c r="H624" s="45"/>
      <c r="L624" s="16"/>
      <c r="M624" s="16"/>
    </row>
    <row r="625" spans="1:13">
      <c r="A625" s="45"/>
      <c r="B625" s="45"/>
      <c r="C625" s="45"/>
      <c r="D625" s="45"/>
      <c r="E625" s="45"/>
      <c r="F625" s="45"/>
      <c r="G625" s="45"/>
      <c r="H625" s="45"/>
      <c r="L625" s="16"/>
      <c r="M625" s="16"/>
    </row>
    <row r="626" spans="1:13">
      <c r="A626" s="45"/>
      <c r="B626" s="45"/>
      <c r="C626" s="45"/>
      <c r="D626" s="45"/>
      <c r="E626" s="45"/>
      <c r="F626" s="45"/>
      <c r="G626" s="45"/>
      <c r="H626" s="45"/>
      <c r="L626" s="16"/>
      <c r="M626" s="16"/>
    </row>
    <row r="627" spans="1:13">
      <c r="A627" s="45"/>
      <c r="B627" s="45"/>
      <c r="C627" s="45"/>
      <c r="D627" s="45"/>
      <c r="E627" s="45"/>
      <c r="F627" s="45"/>
      <c r="G627" s="45"/>
      <c r="H627" s="45"/>
      <c r="L627" s="16"/>
      <c r="M627" s="16"/>
    </row>
    <row r="628" spans="1:13">
      <c r="A628" s="45"/>
      <c r="B628" s="45"/>
      <c r="C628" s="45"/>
      <c r="D628" s="45"/>
      <c r="E628" s="45"/>
      <c r="F628" s="45"/>
      <c r="G628" s="45"/>
      <c r="H628" s="45"/>
      <c r="L628" s="16"/>
      <c r="M628" s="16"/>
    </row>
    <row r="629" spans="1:13">
      <c r="A629" s="45"/>
      <c r="B629" s="45"/>
      <c r="C629" s="45"/>
      <c r="D629" s="45"/>
      <c r="E629" s="45"/>
      <c r="F629" s="45"/>
      <c r="G629" s="45"/>
      <c r="H629" s="45"/>
      <c r="L629" s="16"/>
      <c r="M629" s="16"/>
    </row>
    <row r="630" spans="1:13">
      <c r="A630" s="45"/>
      <c r="B630" s="45"/>
      <c r="C630" s="45"/>
      <c r="D630" s="45"/>
      <c r="E630" s="45"/>
      <c r="F630" s="45"/>
      <c r="G630" s="45"/>
      <c r="H630" s="45"/>
      <c r="L630" s="16"/>
      <c r="M630" s="16"/>
    </row>
    <row r="631" spans="1:13">
      <c r="A631" s="45"/>
      <c r="B631" s="45"/>
      <c r="C631" s="45"/>
      <c r="D631" s="45"/>
      <c r="E631" s="45"/>
      <c r="F631" s="45"/>
      <c r="G631" s="45"/>
      <c r="H631" s="45"/>
      <c r="L631" s="16"/>
      <c r="M631" s="16"/>
    </row>
    <row r="632" spans="1:13">
      <c r="A632" s="45"/>
      <c r="B632" s="45"/>
      <c r="C632" s="45"/>
      <c r="D632" s="45"/>
      <c r="E632" s="45"/>
      <c r="F632" s="45"/>
      <c r="G632" s="45"/>
      <c r="H632" s="45"/>
      <c r="L632" s="16"/>
      <c r="M632" s="16"/>
    </row>
    <row r="633" spans="1:13">
      <c r="A633" s="45"/>
      <c r="B633" s="45"/>
      <c r="C633" s="45"/>
      <c r="D633" s="45"/>
      <c r="E633" s="45"/>
      <c r="F633" s="45"/>
      <c r="G633" s="45"/>
      <c r="H633" s="45"/>
      <c r="L633" s="16"/>
      <c r="M633" s="16"/>
    </row>
    <row r="634" spans="1:13">
      <c r="A634" s="45"/>
      <c r="B634" s="45"/>
      <c r="C634" s="45"/>
      <c r="D634" s="45"/>
      <c r="E634" s="45"/>
      <c r="F634" s="45"/>
      <c r="G634" s="45"/>
      <c r="H634" s="45"/>
      <c r="L634" s="16"/>
      <c r="M634" s="16"/>
    </row>
    <row r="635" spans="1:13">
      <c r="A635" s="45"/>
      <c r="B635" s="45"/>
      <c r="C635" s="45"/>
      <c r="D635" s="45"/>
      <c r="E635" s="45"/>
      <c r="F635" s="45"/>
      <c r="G635" s="45"/>
      <c r="H635" s="45"/>
      <c r="L635" s="16"/>
      <c r="M635" s="16"/>
    </row>
    <row r="636" spans="1:13">
      <c r="A636" s="45"/>
      <c r="B636" s="45"/>
      <c r="C636" s="45"/>
      <c r="D636" s="45"/>
      <c r="E636" s="45"/>
      <c r="F636" s="45"/>
      <c r="G636" s="45"/>
      <c r="H636" s="45"/>
      <c r="L636" s="16"/>
      <c r="M636" s="16"/>
    </row>
    <row r="637" spans="1:13">
      <c r="A637" s="45"/>
      <c r="B637" s="45"/>
      <c r="C637" s="45"/>
      <c r="D637" s="45"/>
      <c r="E637" s="45"/>
      <c r="F637" s="45"/>
      <c r="G637" s="45"/>
      <c r="H637" s="45"/>
      <c r="L637" s="16"/>
      <c r="M637" s="16"/>
    </row>
    <row r="638" spans="1:13">
      <c r="A638" s="45"/>
      <c r="B638" s="45"/>
      <c r="C638" s="45"/>
      <c r="D638" s="45"/>
      <c r="E638" s="45"/>
      <c r="F638" s="45"/>
      <c r="G638" s="45"/>
      <c r="H638" s="45"/>
      <c r="L638" s="16"/>
      <c r="M638" s="16"/>
    </row>
    <row r="639" spans="1:13">
      <c r="A639" s="45"/>
      <c r="B639" s="45"/>
      <c r="C639" s="45"/>
      <c r="D639" s="45"/>
      <c r="E639" s="45"/>
      <c r="F639" s="45"/>
      <c r="G639" s="45"/>
      <c r="H639" s="45"/>
      <c r="L639" s="16"/>
      <c r="M639" s="16"/>
    </row>
    <row r="640" spans="1:13">
      <c r="A640" s="45"/>
      <c r="B640" s="45"/>
      <c r="C640" s="45"/>
      <c r="D640" s="45"/>
      <c r="E640" s="45"/>
      <c r="F640" s="45"/>
      <c r="G640" s="45"/>
      <c r="H640" s="45"/>
      <c r="L640" s="16"/>
      <c r="M640" s="16"/>
    </row>
    <row r="641" spans="1:13">
      <c r="A641" s="45"/>
      <c r="B641" s="45"/>
      <c r="C641" s="45"/>
      <c r="D641" s="45"/>
      <c r="E641" s="45"/>
      <c r="F641" s="45"/>
      <c r="G641" s="45"/>
      <c r="H641" s="45"/>
      <c r="L641" s="16"/>
      <c r="M641" s="16"/>
    </row>
    <row r="642" spans="1:13">
      <c r="A642" s="45"/>
      <c r="B642" s="45"/>
      <c r="C642" s="45"/>
      <c r="D642" s="45"/>
      <c r="E642" s="45"/>
      <c r="F642" s="45"/>
      <c r="G642" s="45"/>
      <c r="H642" s="45"/>
      <c r="L642" s="16"/>
      <c r="M642" s="16"/>
    </row>
    <row r="643" spans="1:13">
      <c r="A643" s="45"/>
      <c r="B643" s="45"/>
      <c r="C643" s="45"/>
      <c r="D643" s="45"/>
      <c r="E643" s="45"/>
      <c r="F643" s="45"/>
      <c r="G643" s="45"/>
      <c r="H643" s="45"/>
      <c r="L643" s="16"/>
      <c r="M643" s="16"/>
    </row>
    <row r="644" spans="1:13">
      <c r="A644" s="45"/>
      <c r="B644" s="45"/>
      <c r="C644" s="45"/>
      <c r="D644" s="45"/>
      <c r="E644" s="45"/>
      <c r="F644" s="45"/>
      <c r="G644" s="45"/>
      <c r="H644" s="45"/>
      <c r="L644" s="16"/>
      <c r="M644" s="16"/>
    </row>
    <row r="645" spans="1:13">
      <c r="A645" s="45"/>
      <c r="B645" s="45"/>
      <c r="C645" s="45"/>
      <c r="D645" s="45"/>
      <c r="E645" s="45"/>
      <c r="F645" s="45"/>
      <c r="G645" s="45"/>
      <c r="H645" s="45"/>
      <c r="L645" s="16"/>
      <c r="M645" s="16"/>
    </row>
    <row r="646" spans="1:13">
      <c r="A646" s="45"/>
      <c r="B646" s="45"/>
      <c r="C646" s="45"/>
      <c r="D646" s="45"/>
      <c r="E646" s="45"/>
      <c r="F646" s="45"/>
      <c r="G646" s="45"/>
      <c r="H646" s="45"/>
      <c r="L646" s="16"/>
      <c r="M646" s="16"/>
    </row>
    <row r="647" spans="1:13">
      <c r="A647" s="45"/>
      <c r="B647" s="45"/>
      <c r="C647" s="45"/>
      <c r="D647" s="45"/>
      <c r="E647" s="45"/>
      <c r="F647" s="45"/>
      <c r="G647" s="45"/>
      <c r="H647" s="45"/>
      <c r="L647" s="16"/>
      <c r="M647" s="16"/>
    </row>
    <row r="648" spans="1:13">
      <c r="A648" s="45"/>
      <c r="B648" s="45"/>
      <c r="C648" s="45"/>
      <c r="D648" s="45"/>
      <c r="E648" s="45"/>
      <c r="F648" s="45"/>
      <c r="G648" s="45"/>
      <c r="H648" s="45"/>
      <c r="L648" s="16"/>
      <c r="M648" s="16"/>
    </row>
    <row r="649" spans="1:13">
      <c r="A649" s="45"/>
      <c r="B649" s="45"/>
      <c r="C649" s="45"/>
      <c r="D649" s="45"/>
      <c r="E649" s="45"/>
      <c r="F649" s="45"/>
      <c r="G649" s="45"/>
      <c r="H649" s="45"/>
      <c r="L649" s="16"/>
      <c r="M649" s="16"/>
    </row>
    <row r="650" spans="1:13">
      <c r="A650" s="45"/>
      <c r="B650" s="45"/>
      <c r="C650" s="45"/>
      <c r="D650" s="45"/>
      <c r="E650" s="45"/>
      <c r="F650" s="45"/>
      <c r="G650" s="45"/>
      <c r="H650" s="45"/>
      <c r="L650" s="16"/>
      <c r="M650" s="16"/>
    </row>
    <row r="651" spans="1:13">
      <c r="A651" s="45"/>
      <c r="B651" s="45"/>
      <c r="C651" s="45"/>
      <c r="D651" s="45"/>
      <c r="E651" s="45"/>
      <c r="F651" s="45"/>
      <c r="G651" s="45"/>
      <c r="H651" s="45"/>
      <c r="L651" s="16"/>
      <c r="M651" s="16"/>
    </row>
    <row r="652" spans="1:13">
      <c r="A652" s="45"/>
      <c r="B652" s="45"/>
      <c r="C652" s="45"/>
      <c r="D652" s="45"/>
      <c r="E652" s="45"/>
      <c r="F652" s="45"/>
      <c r="G652" s="45"/>
      <c r="H652" s="45"/>
      <c r="L652" s="16"/>
      <c r="M652" s="16"/>
    </row>
    <row r="653" spans="1:13">
      <c r="A653" s="45"/>
      <c r="B653" s="45"/>
      <c r="C653" s="45"/>
      <c r="D653" s="45"/>
      <c r="E653" s="45"/>
      <c r="F653" s="45"/>
      <c r="G653" s="45"/>
      <c r="H653" s="45"/>
      <c r="L653" s="16"/>
      <c r="M653" s="16"/>
    </row>
    <row r="654" spans="1:13">
      <c r="A654" s="45"/>
      <c r="B654" s="45"/>
      <c r="C654" s="45"/>
      <c r="D654" s="45"/>
      <c r="E654" s="45"/>
      <c r="F654" s="45"/>
      <c r="G654" s="45"/>
      <c r="H654" s="45"/>
      <c r="L654" s="16"/>
      <c r="M654" s="16"/>
    </row>
    <row r="655" spans="1:13">
      <c r="A655" s="45"/>
      <c r="B655" s="45"/>
      <c r="C655" s="45"/>
      <c r="D655" s="45"/>
      <c r="E655" s="45"/>
      <c r="F655" s="45"/>
      <c r="G655" s="45"/>
      <c r="H655" s="45"/>
      <c r="L655" s="16"/>
      <c r="M655" s="16"/>
    </row>
    <row r="656" spans="1:13">
      <c r="A656" s="45"/>
      <c r="B656" s="45"/>
      <c r="C656" s="45"/>
      <c r="D656" s="45"/>
      <c r="E656" s="45"/>
      <c r="F656" s="45"/>
      <c r="G656" s="45"/>
      <c r="H656" s="45"/>
      <c r="L656" s="16"/>
      <c r="M656" s="16"/>
    </row>
    <row r="657" spans="1:13">
      <c r="A657" s="45"/>
      <c r="B657" s="45"/>
      <c r="C657" s="45"/>
      <c r="D657" s="45"/>
      <c r="E657" s="45"/>
      <c r="F657" s="45"/>
      <c r="G657" s="45"/>
      <c r="H657" s="45"/>
      <c r="L657" s="16"/>
      <c r="M657" s="16"/>
    </row>
    <row r="658" spans="1:13">
      <c r="A658" s="45"/>
      <c r="B658" s="45"/>
      <c r="C658" s="45"/>
      <c r="D658" s="45"/>
      <c r="E658" s="45"/>
      <c r="F658" s="45"/>
      <c r="G658" s="45"/>
      <c r="H658" s="45"/>
      <c r="L658" s="16"/>
      <c r="M658" s="16"/>
    </row>
    <row r="659" spans="1:13">
      <c r="A659" s="45"/>
      <c r="B659" s="45"/>
      <c r="C659" s="45"/>
      <c r="D659" s="45"/>
      <c r="E659" s="45"/>
      <c r="F659" s="45"/>
      <c r="G659" s="45"/>
      <c r="H659" s="45"/>
      <c r="L659" s="16"/>
      <c r="M659" s="16"/>
    </row>
    <row r="660" spans="1:13">
      <c r="A660" s="45"/>
      <c r="B660" s="45"/>
      <c r="C660" s="45"/>
      <c r="D660" s="45"/>
      <c r="E660" s="45"/>
      <c r="F660" s="45"/>
      <c r="G660" s="45"/>
      <c r="H660" s="45"/>
      <c r="L660" s="16"/>
      <c r="M660" s="16"/>
    </row>
    <row r="661" spans="1:13">
      <c r="A661" s="45"/>
      <c r="B661" s="45"/>
      <c r="C661" s="45"/>
      <c r="D661" s="45"/>
      <c r="E661" s="45"/>
      <c r="F661" s="45"/>
      <c r="G661" s="45"/>
      <c r="H661" s="45"/>
      <c r="L661" s="16"/>
      <c r="M661" s="16"/>
    </row>
    <row r="662" spans="1:13">
      <c r="A662" s="45"/>
      <c r="B662" s="45"/>
      <c r="C662" s="45"/>
      <c r="D662" s="45"/>
      <c r="E662" s="45"/>
      <c r="F662" s="45"/>
      <c r="G662" s="45"/>
      <c r="H662" s="45"/>
      <c r="L662" s="16"/>
      <c r="M662" s="16"/>
    </row>
    <row r="663" spans="1:13">
      <c r="A663" s="45"/>
      <c r="B663" s="45"/>
      <c r="C663" s="45"/>
      <c r="D663" s="45"/>
      <c r="E663" s="45"/>
      <c r="F663" s="45"/>
      <c r="G663" s="45"/>
      <c r="H663" s="45"/>
      <c r="L663" s="16"/>
      <c r="M663" s="16"/>
    </row>
    <row r="664" spans="1:13">
      <c r="A664" s="45"/>
      <c r="B664" s="45"/>
      <c r="C664" s="45"/>
      <c r="D664" s="45"/>
      <c r="E664" s="45"/>
      <c r="F664" s="45"/>
      <c r="G664" s="45"/>
      <c r="H664" s="45"/>
      <c r="L664" s="16"/>
      <c r="M664" s="16"/>
    </row>
    <row r="665" spans="1:13">
      <c r="A665" s="45"/>
      <c r="B665" s="45"/>
      <c r="C665" s="45"/>
      <c r="D665" s="45"/>
      <c r="E665" s="45"/>
      <c r="F665" s="45"/>
      <c r="G665" s="45"/>
      <c r="H665" s="45"/>
      <c r="L665" s="16"/>
      <c r="M665" s="16"/>
    </row>
    <row r="666" spans="1:13">
      <c r="A666" s="45"/>
      <c r="B666" s="45"/>
      <c r="C666" s="45"/>
      <c r="D666" s="45"/>
      <c r="E666" s="45"/>
      <c r="F666" s="45"/>
      <c r="G666" s="45"/>
      <c r="H666" s="45"/>
      <c r="L666" s="16"/>
      <c r="M666" s="16"/>
    </row>
    <row r="667" spans="1:13">
      <c r="A667" s="45"/>
      <c r="B667" s="45"/>
      <c r="C667" s="45"/>
      <c r="D667" s="45"/>
      <c r="E667" s="45"/>
      <c r="F667" s="45"/>
      <c r="G667" s="45"/>
      <c r="H667" s="45"/>
      <c r="L667" s="16"/>
      <c r="M667" s="16"/>
    </row>
    <row r="668" spans="1:13">
      <c r="A668" s="45"/>
      <c r="B668" s="45"/>
      <c r="C668" s="45"/>
      <c r="D668" s="45"/>
      <c r="E668" s="45"/>
      <c r="F668" s="45"/>
      <c r="G668" s="45"/>
      <c r="H668" s="45"/>
      <c r="L668" s="16"/>
      <c r="M668" s="16"/>
    </row>
    <row r="669" spans="1:13">
      <c r="A669" s="45"/>
      <c r="B669" s="45"/>
      <c r="C669" s="45"/>
      <c r="D669" s="45"/>
      <c r="E669" s="45"/>
      <c r="F669" s="45"/>
      <c r="G669" s="45"/>
      <c r="H669" s="45"/>
      <c r="L669" s="16"/>
      <c r="M669" s="16"/>
    </row>
    <row r="670" spans="1:13">
      <c r="A670" s="45"/>
      <c r="B670" s="45"/>
      <c r="C670" s="45"/>
      <c r="D670" s="45"/>
      <c r="E670" s="45"/>
      <c r="F670" s="45"/>
      <c r="G670" s="45"/>
      <c r="H670" s="45"/>
      <c r="L670" s="16"/>
      <c r="M670" s="16"/>
    </row>
    <row r="671" spans="1:13">
      <c r="A671" s="45"/>
      <c r="B671" s="45"/>
      <c r="C671" s="45"/>
      <c r="D671" s="45"/>
      <c r="E671" s="45"/>
      <c r="F671" s="45"/>
      <c r="G671" s="45"/>
      <c r="H671" s="45"/>
      <c r="L671" s="16"/>
      <c r="M671" s="16"/>
    </row>
    <row r="672" spans="1:13">
      <c r="A672" s="45"/>
      <c r="B672" s="45"/>
      <c r="C672" s="45"/>
      <c r="D672" s="45"/>
      <c r="E672" s="45"/>
      <c r="F672" s="45"/>
      <c r="G672" s="45"/>
      <c r="H672" s="45"/>
      <c r="L672" s="16"/>
      <c r="M672" s="16"/>
    </row>
    <row r="673" spans="1:13">
      <c r="A673" s="45"/>
      <c r="B673" s="45"/>
      <c r="C673" s="45"/>
      <c r="D673" s="45"/>
      <c r="E673" s="45"/>
      <c r="F673" s="45"/>
      <c r="G673" s="45"/>
      <c r="H673" s="45"/>
      <c r="L673" s="16"/>
      <c r="M673" s="16"/>
    </row>
    <row r="674" spans="1:13">
      <c r="A674" s="45"/>
      <c r="B674" s="45"/>
      <c r="C674" s="45"/>
      <c r="D674" s="45"/>
      <c r="E674" s="45"/>
      <c r="F674" s="45"/>
      <c r="G674" s="45"/>
      <c r="H674" s="45"/>
      <c r="L674" s="16"/>
      <c r="M674" s="16"/>
    </row>
    <row r="675" spans="1:13">
      <c r="A675" s="45"/>
      <c r="B675" s="45"/>
      <c r="C675" s="45"/>
      <c r="D675" s="45"/>
      <c r="E675" s="45"/>
      <c r="F675" s="45"/>
      <c r="G675" s="45"/>
      <c r="H675" s="45"/>
      <c r="L675" s="16"/>
      <c r="M675" s="16"/>
    </row>
    <row r="676" spans="1:13">
      <c r="A676" s="45"/>
      <c r="B676" s="45"/>
      <c r="C676" s="45"/>
      <c r="D676" s="45"/>
      <c r="E676" s="45"/>
      <c r="F676" s="45"/>
      <c r="G676" s="45"/>
      <c r="H676" s="45"/>
      <c r="L676" s="16"/>
      <c r="M676" s="16"/>
    </row>
    <row r="677" spans="1:13">
      <c r="A677" s="45"/>
      <c r="B677" s="45"/>
      <c r="C677" s="45"/>
      <c r="D677" s="45"/>
      <c r="E677" s="45"/>
      <c r="F677" s="45"/>
      <c r="G677" s="45"/>
      <c r="H677" s="45"/>
      <c r="L677" s="16"/>
      <c r="M677" s="16"/>
    </row>
    <row r="678" spans="1:13">
      <c r="A678" s="45"/>
      <c r="B678" s="45"/>
      <c r="C678" s="45"/>
      <c r="D678" s="45"/>
      <c r="E678" s="45"/>
      <c r="F678" s="45"/>
      <c r="G678" s="45"/>
      <c r="H678" s="45"/>
      <c r="L678" s="16"/>
      <c r="M678" s="16"/>
    </row>
    <row r="679" spans="1:13">
      <c r="A679" s="45"/>
      <c r="B679" s="45"/>
      <c r="C679" s="45"/>
      <c r="D679" s="45"/>
      <c r="E679" s="45"/>
      <c r="F679" s="45"/>
      <c r="G679" s="45"/>
      <c r="H679" s="45"/>
      <c r="L679" s="16"/>
      <c r="M679" s="16"/>
    </row>
    <row r="680" spans="1:13">
      <c r="A680" s="45"/>
      <c r="B680" s="45"/>
      <c r="C680" s="45"/>
      <c r="D680" s="45"/>
      <c r="E680" s="45"/>
      <c r="F680" s="45"/>
      <c r="G680" s="45"/>
      <c r="H680" s="45"/>
      <c r="L680" s="16"/>
      <c r="M680" s="16"/>
    </row>
    <row r="681" spans="1:13">
      <c r="A681" s="45"/>
      <c r="B681" s="45"/>
      <c r="C681" s="45"/>
      <c r="D681" s="45"/>
      <c r="E681" s="45"/>
      <c r="F681" s="45"/>
      <c r="G681" s="45"/>
      <c r="H681" s="45"/>
      <c r="L681" s="16"/>
      <c r="M681" s="16"/>
    </row>
    <row r="682" spans="1:13">
      <c r="A682" s="45"/>
      <c r="B682" s="45"/>
      <c r="C682" s="45"/>
      <c r="D682" s="45"/>
      <c r="E682" s="45"/>
      <c r="F682" s="45"/>
      <c r="G682" s="45"/>
      <c r="H682" s="45"/>
      <c r="L682" s="16"/>
      <c r="M682" s="16"/>
    </row>
    <row r="683" spans="1:13">
      <c r="A683" s="45"/>
      <c r="B683" s="45"/>
      <c r="C683" s="45"/>
      <c r="D683" s="45"/>
      <c r="E683" s="45"/>
      <c r="F683" s="45"/>
      <c r="G683" s="45"/>
      <c r="H683" s="45"/>
      <c r="L683" s="16"/>
      <c r="M683" s="16"/>
    </row>
    <row r="684" spans="1:13">
      <c r="A684" s="45"/>
      <c r="B684" s="45"/>
      <c r="C684" s="45"/>
      <c r="D684" s="45"/>
      <c r="E684" s="45"/>
      <c r="F684" s="45"/>
      <c r="G684" s="45"/>
      <c r="H684" s="45"/>
      <c r="L684" s="16"/>
      <c r="M684" s="16"/>
    </row>
    <row r="685" spans="1:13">
      <c r="A685" s="45"/>
      <c r="B685" s="45"/>
      <c r="C685" s="45"/>
      <c r="D685" s="45"/>
      <c r="E685" s="45"/>
      <c r="F685" s="45"/>
      <c r="G685" s="45"/>
      <c r="H685" s="45"/>
      <c r="L685" s="16"/>
      <c r="M685" s="16"/>
    </row>
    <row r="686" spans="1:13">
      <c r="A686" s="45"/>
      <c r="B686" s="45"/>
      <c r="C686" s="45"/>
      <c r="D686" s="45"/>
      <c r="E686" s="45"/>
      <c r="F686" s="45"/>
      <c r="G686" s="45"/>
      <c r="H686" s="45"/>
      <c r="L686" s="16"/>
      <c r="M686" s="16"/>
    </row>
    <row r="687" spans="1:13">
      <c r="A687" s="45"/>
      <c r="B687" s="45"/>
      <c r="C687" s="45"/>
      <c r="D687" s="45"/>
      <c r="E687" s="45"/>
      <c r="F687" s="45"/>
      <c r="G687" s="45"/>
      <c r="H687" s="45"/>
      <c r="L687" s="16"/>
      <c r="M687" s="16"/>
    </row>
    <row r="688" spans="1:13">
      <c r="A688" s="45"/>
      <c r="B688" s="45"/>
      <c r="C688" s="45"/>
      <c r="D688" s="45"/>
      <c r="E688" s="45"/>
      <c r="F688" s="45"/>
      <c r="G688" s="45"/>
      <c r="H688" s="45"/>
      <c r="L688" s="16"/>
      <c r="M688" s="16"/>
    </row>
    <row r="689" spans="1:13">
      <c r="A689" s="45"/>
      <c r="B689" s="45"/>
      <c r="C689" s="45"/>
      <c r="D689" s="45"/>
      <c r="E689" s="45"/>
      <c r="F689" s="45"/>
      <c r="G689" s="45"/>
      <c r="H689" s="45"/>
      <c r="L689" s="16"/>
      <c r="M689" s="16"/>
    </row>
    <row r="690" spans="1:13">
      <c r="A690" s="45"/>
      <c r="B690" s="45"/>
      <c r="C690" s="45"/>
      <c r="D690" s="45"/>
      <c r="E690" s="45"/>
      <c r="F690" s="45"/>
      <c r="G690" s="45"/>
      <c r="H690" s="45"/>
      <c r="L690" s="16"/>
      <c r="M690" s="16"/>
    </row>
    <row r="691" spans="1:13">
      <c r="A691" s="45"/>
      <c r="B691" s="45"/>
      <c r="C691" s="45"/>
      <c r="D691" s="45"/>
      <c r="E691" s="45"/>
      <c r="F691" s="45"/>
      <c r="G691" s="45"/>
      <c r="H691" s="45"/>
      <c r="L691" s="16"/>
      <c r="M691" s="16"/>
    </row>
    <row r="692" spans="1:13">
      <c r="A692" s="45"/>
      <c r="B692" s="45"/>
      <c r="C692" s="45"/>
      <c r="D692" s="45"/>
      <c r="E692" s="45"/>
      <c r="F692" s="45"/>
      <c r="G692" s="45"/>
      <c r="H692" s="45"/>
      <c r="L692" s="16"/>
      <c r="M692" s="16"/>
    </row>
    <row r="693" spans="1:13">
      <c r="A693" s="45"/>
      <c r="B693" s="45"/>
      <c r="C693" s="45"/>
      <c r="D693" s="45"/>
      <c r="E693" s="45"/>
      <c r="F693" s="45"/>
      <c r="G693" s="45"/>
      <c r="H693" s="45"/>
      <c r="L693" s="16"/>
      <c r="M693" s="16"/>
    </row>
    <row r="694" spans="1:13">
      <c r="A694" s="45"/>
      <c r="B694" s="45"/>
      <c r="C694" s="45"/>
      <c r="D694" s="45"/>
      <c r="E694" s="45"/>
      <c r="F694" s="45"/>
      <c r="G694" s="45"/>
      <c r="H694" s="45"/>
      <c r="L694" s="16"/>
      <c r="M694" s="16"/>
    </row>
    <row r="695" spans="1:13">
      <c r="A695" s="45"/>
      <c r="B695" s="45"/>
      <c r="C695" s="45"/>
      <c r="D695" s="45"/>
      <c r="E695" s="45"/>
      <c r="F695" s="45"/>
      <c r="G695" s="45"/>
      <c r="H695" s="45"/>
      <c r="L695" s="16"/>
      <c r="M695" s="16"/>
    </row>
    <row r="696" spans="1:13">
      <c r="A696" s="45"/>
      <c r="B696" s="45"/>
      <c r="C696" s="45"/>
      <c r="D696" s="45"/>
      <c r="E696" s="45"/>
      <c r="F696" s="45"/>
      <c r="G696" s="45"/>
      <c r="H696" s="45"/>
      <c r="L696" s="16"/>
      <c r="M696" s="16"/>
    </row>
    <row r="697" spans="1:13">
      <c r="A697" s="45"/>
      <c r="B697" s="45"/>
      <c r="C697" s="45"/>
      <c r="D697" s="45"/>
      <c r="E697" s="45"/>
      <c r="F697" s="45"/>
      <c r="G697" s="45"/>
      <c r="H697" s="45"/>
      <c r="L697" s="16"/>
      <c r="M697" s="16"/>
    </row>
    <row r="698" spans="1:13">
      <c r="A698" s="45"/>
      <c r="B698" s="45"/>
      <c r="C698" s="45"/>
      <c r="D698" s="45"/>
      <c r="E698" s="45"/>
      <c r="F698" s="45"/>
      <c r="G698" s="45"/>
      <c r="H698" s="45"/>
      <c r="L698" s="16"/>
      <c r="M698" s="16"/>
    </row>
    <row r="699" spans="1:13">
      <c r="A699" s="45"/>
      <c r="B699" s="45"/>
      <c r="C699" s="45"/>
      <c r="D699" s="45"/>
      <c r="E699" s="45"/>
      <c r="F699" s="45"/>
      <c r="G699" s="45"/>
      <c r="H699" s="45"/>
      <c r="L699" s="16"/>
      <c r="M699" s="16"/>
    </row>
    <row r="700" spans="1:13">
      <c r="A700" s="45"/>
      <c r="B700" s="45"/>
      <c r="C700" s="45"/>
      <c r="D700" s="45"/>
      <c r="E700" s="45"/>
      <c r="F700" s="45"/>
      <c r="G700" s="45"/>
      <c r="H700" s="45"/>
      <c r="L700" s="16"/>
      <c r="M700" s="16"/>
    </row>
    <row r="701" spans="1:13">
      <c r="A701" s="45"/>
      <c r="B701" s="45"/>
      <c r="C701" s="45"/>
      <c r="D701" s="45"/>
      <c r="E701" s="45"/>
      <c r="F701" s="45"/>
      <c r="G701" s="45"/>
      <c r="H701" s="45"/>
      <c r="L701" s="16"/>
      <c r="M701" s="16"/>
    </row>
    <row r="702" spans="1:13">
      <c r="A702" s="45"/>
      <c r="B702" s="45"/>
      <c r="C702" s="45"/>
      <c r="D702" s="45"/>
      <c r="E702" s="45"/>
      <c r="F702" s="45"/>
      <c r="G702" s="45"/>
      <c r="H702" s="45"/>
      <c r="L702" s="16"/>
      <c r="M702" s="16"/>
    </row>
    <row r="703" spans="1:13">
      <c r="A703" s="45"/>
      <c r="B703" s="45"/>
      <c r="C703" s="45"/>
      <c r="D703" s="45"/>
      <c r="E703" s="45"/>
      <c r="F703" s="45"/>
      <c r="G703" s="45"/>
      <c r="H703" s="45"/>
      <c r="L703" s="16"/>
      <c r="M703" s="16"/>
    </row>
    <row r="704" spans="1:13">
      <c r="A704" s="45"/>
      <c r="B704" s="45"/>
      <c r="C704" s="45"/>
      <c r="D704" s="45"/>
      <c r="E704" s="45"/>
      <c r="F704" s="45"/>
      <c r="G704" s="45"/>
      <c r="H704" s="45"/>
      <c r="L704" s="16"/>
      <c r="M704" s="16"/>
    </row>
    <row r="705" spans="1:13">
      <c r="A705" s="45"/>
      <c r="B705" s="45"/>
      <c r="C705" s="45"/>
      <c r="D705" s="45"/>
      <c r="E705" s="45"/>
      <c r="F705" s="45"/>
      <c r="G705" s="45"/>
      <c r="H705" s="45"/>
      <c r="L705" s="16"/>
      <c r="M705" s="16"/>
    </row>
    <row r="706" spans="1:13">
      <c r="A706" s="45"/>
      <c r="B706" s="45"/>
      <c r="C706" s="45"/>
      <c r="D706" s="45"/>
      <c r="E706" s="45"/>
      <c r="F706" s="45"/>
      <c r="G706" s="45"/>
      <c r="H706" s="45"/>
      <c r="L706" s="16"/>
      <c r="M706" s="16"/>
    </row>
    <row r="707" spans="1:13">
      <c r="A707" s="45"/>
      <c r="B707" s="45"/>
      <c r="C707" s="45"/>
      <c r="D707" s="45"/>
      <c r="E707" s="45"/>
      <c r="F707" s="45"/>
      <c r="G707" s="45"/>
      <c r="H707" s="45"/>
      <c r="L707" s="16"/>
      <c r="M707" s="16"/>
    </row>
    <row r="708" spans="1:13">
      <c r="A708" s="45"/>
      <c r="B708" s="45"/>
      <c r="C708" s="45"/>
      <c r="D708" s="45"/>
      <c r="E708" s="45"/>
      <c r="F708" s="45"/>
      <c r="G708" s="45"/>
      <c r="H708" s="45"/>
      <c r="L708" s="16"/>
      <c r="M708" s="16"/>
    </row>
    <row r="709" spans="1:13">
      <c r="A709" s="45"/>
      <c r="B709" s="45"/>
      <c r="C709" s="45"/>
      <c r="D709" s="45"/>
      <c r="E709" s="45"/>
      <c r="F709" s="45"/>
      <c r="G709" s="45"/>
      <c r="H709" s="45"/>
      <c r="L709" s="16"/>
      <c r="M709" s="16"/>
    </row>
    <row r="710" spans="1:13">
      <c r="A710" s="45"/>
      <c r="B710" s="45"/>
      <c r="C710" s="45"/>
      <c r="D710" s="45"/>
      <c r="E710" s="45"/>
      <c r="F710" s="45"/>
      <c r="G710" s="45"/>
      <c r="H710" s="45"/>
      <c r="L710" s="16"/>
      <c r="M710" s="16"/>
    </row>
    <row r="711" spans="1:13">
      <c r="A711" s="45"/>
      <c r="B711" s="45"/>
      <c r="C711" s="45"/>
      <c r="D711" s="45"/>
      <c r="E711" s="45"/>
      <c r="F711" s="45"/>
      <c r="G711" s="45"/>
      <c r="H711" s="45"/>
      <c r="L711" s="16"/>
      <c r="M711" s="16"/>
    </row>
    <row r="712" spans="1:13">
      <c r="A712" s="45"/>
      <c r="B712" s="45"/>
      <c r="C712" s="45"/>
      <c r="D712" s="45"/>
      <c r="E712" s="45"/>
      <c r="F712" s="45"/>
      <c r="G712" s="45"/>
      <c r="H712" s="45"/>
      <c r="L712" s="16"/>
      <c r="M712" s="16"/>
    </row>
    <row r="713" spans="1:13">
      <c r="A713" s="45"/>
      <c r="B713" s="45"/>
      <c r="C713" s="45"/>
      <c r="D713" s="45"/>
      <c r="E713" s="45"/>
      <c r="F713" s="45"/>
      <c r="G713" s="45"/>
      <c r="H713" s="45"/>
      <c r="L713" s="16"/>
      <c r="M713" s="16"/>
    </row>
    <row r="714" spans="1:13">
      <c r="A714" s="45"/>
      <c r="B714" s="45"/>
      <c r="C714" s="45"/>
      <c r="D714" s="45"/>
      <c r="E714" s="45"/>
      <c r="F714" s="45"/>
      <c r="G714" s="45"/>
      <c r="H714" s="45"/>
      <c r="L714" s="16"/>
      <c r="M714" s="16"/>
    </row>
    <row r="715" spans="1:13">
      <c r="A715" s="45"/>
      <c r="B715" s="45"/>
      <c r="C715" s="45"/>
      <c r="D715" s="45"/>
      <c r="E715" s="45"/>
      <c r="F715" s="45"/>
      <c r="G715" s="45"/>
      <c r="H715" s="45"/>
      <c r="L715" s="16"/>
      <c r="M715" s="16"/>
    </row>
    <row r="716" spans="1:13">
      <c r="A716" s="45"/>
      <c r="B716" s="45"/>
      <c r="C716" s="45"/>
      <c r="D716" s="45"/>
      <c r="E716" s="45"/>
      <c r="F716" s="45"/>
      <c r="G716" s="45"/>
      <c r="H716" s="45"/>
      <c r="L716" s="16"/>
      <c r="M716" s="16"/>
    </row>
    <row r="717" spans="1:13">
      <c r="A717" s="45"/>
      <c r="B717" s="45"/>
      <c r="C717" s="45"/>
      <c r="D717" s="45"/>
      <c r="E717" s="45"/>
      <c r="F717" s="45"/>
      <c r="G717" s="45"/>
      <c r="H717" s="45"/>
      <c r="L717" s="16"/>
      <c r="M717" s="16"/>
    </row>
    <row r="718" spans="1:13">
      <c r="A718" s="45"/>
      <c r="B718" s="45"/>
      <c r="C718" s="45"/>
      <c r="D718" s="45"/>
      <c r="E718" s="45"/>
      <c r="F718" s="45"/>
      <c r="G718" s="45"/>
      <c r="H718" s="45"/>
      <c r="L718" s="16"/>
      <c r="M718" s="16"/>
    </row>
    <row r="719" spans="1:13">
      <c r="A719" s="45"/>
      <c r="B719" s="45"/>
      <c r="C719" s="45"/>
      <c r="D719" s="45"/>
      <c r="E719" s="45"/>
      <c r="F719" s="45"/>
      <c r="G719" s="45"/>
      <c r="H719" s="45"/>
      <c r="L719" s="16"/>
      <c r="M719" s="16"/>
    </row>
    <row r="720" spans="1:13">
      <c r="A720" s="45"/>
      <c r="B720" s="45"/>
      <c r="C720" s="45"/>
      <c r="D720" s="45"/>
      <c r="E720" s="45"/>
      <c r="F720" s="45"/>
      <c r="G720" s="45"/>
      <c r="H720" s="45"/>
      <c r="L720" s="16"/>
      <c r="M720" s="16"/>
    </row>
    <row r="721" spans="1:13">
      <c r="A721" s="45"/>
      <c r="B721" s="45"/>
      <c r="C721" s="45"/>
      <c r="D721" s="45"/>
      <c r="E721" s="45"/>
      <c r="F721" s="45"/>
      <c r="G721" s="45"/>
      <c r="H721" s="45"/>
      <c r="L721" s="16"/>
      <c r="M721" s="16"/>
    </row>
    <row r="722" spans="1:13">
      <c r="A722" s="45"/>
      <c r="B722" s="45"/>
      <c r="C722" s="45"/>
      <c r="D722" s="45"/>
      <c r="E722" s="45"/>
      <c r="F722" s="45"/>
      <c r="G722" s="45"/>
      <c r="H722" s="45"/>
      <c r="L722" s="16"/>
      <c r="M722" s="16"/>
    </row>
    <row r="723" spans="1:13">
      <c r="A723" s="45"/>
      <c r="B723" s="45"/>
      <c r="C723" s="45"/>
      <c r="D723" s="45"/>
      <c r="E723" s="45"/>
      <c r="F723" s="45"/>
      <c r="G723" s="45"/>
      <c r="H723" s="45"/>
      <c r="L723" s="16"/>
      <c r="M723" s="16"/>
    </row>
    <row r="724" spans="1:13">
      <c r="A724" s="45"/>
      <c r="B724" s="45"/>
      <c r="C724" s="45"/>
      <c r="D724" s="45"/>
      <c r="E724" s="45"/>
      <c r="F724" s="45"/>
      <c r="G724" s="45"/>
      <c r="H724" s="45"/>
      <c r="L724" s="16"/>
      <c r="M724" s="16"/>
    </row>
    <row r="725" spans="1:13">
      <c r="A725" s="45"/>
      <c r="B725" s="45"/>
      <c r="C725" s="45"/>
      <c r="D725" s="45"/>
      <c r="E725" s="45"/>
      <c r="F725" s="45"/>
      <c r="G725" s="45"/>
      <c r="H725" s="45"/>
      <c r="L725" s="16"/>
      <c r="M725" s="16"/>
    </row>
    <row r="726" spans="1:13">
      <c r="A726" s="45"/>
      <c r="B726" s="45"/>
      <c r="C726" s="45"/>
      <c r="D726" s="45"/>
      <c r="E726" s="45"/>
      <c r="F726" s="45"/>
      <c r="G726" s="45"/>
      <c r="H726" s="45"/>
      <c r="L726" s="16"/>
      <c r="M726" s="16"/>
    </row>
    <row r="727" spans="1:13">
      <c r="A727" s="45"/>
      <c r="B727" s="45"/>
      <c r="C727" s="45"/>
      <c r="D727" s="45"/>
      <c r="E727" s="45"/>
      <c r="F727" s="45"/>
      <c r="G727" s="45"/>
      <c r="H727" s="45"/>
      <c r="L727" s="16"/>
      <c r="M727" s="16"/>
    </row>
    <row r="728" spans="1:13">
      <c r="A728" s="45"/>
      <c r="B728" s="45"/>
      <c r="C728" s="45"/>
      <c r="D728" s="45"/>
      <c r="E728" s="45"/>
      <c r="F728" s="45"/>
      <c r="G728" s="45"/>
      <c r="H728" s="45"/>
      <c r="L728" s="16"/>
      <c r="M728" s="16"/>
    </row>
    <row r="729" spans="1:13">
      <c r="A729" s="45"/>
      <c r="B729" s="45"/>
      <c r="C729" s="45"/>
      <c r="D729" s="45"/>
      <c r="E729" s="45"/>
      <c r="F729" s="45"/>
      <c r="G729" s="45"/>
      <c r="H729" s="45"/>
      <c r="L729" s="16"/>
      <c r="M729" s="16"/>
    </row>
    <row r="730" spans="1:13">
      <c r="A730" s="45"/>
      <c r="B730" s="45"/>
      <c r="C730" s="45"/>
      <c r="D730" s="45"/>
      <c r="E730" s="45"/>
      <c r="F730" s="45"/>
      <c r="G730" s="45"/>
      <c r="H730" s="45"/>
      <c r="L730" s="16"/>
      <c r="M730" s="16"/>
    </row>
    <row r="731" spans="1:13">
      <c r="A731" s="45"/>
      <c r="B731" s="45"/>
      <c r="C731" s="45"/>
      <c r="D731" s="45"/>
      <c r="E731" s="45"/>
      <c r="F731" s="45"/>
      <c r="G731" s="45"/>
      <c r="H731" s="45"/>
      <c r="L731" s="16"/>
      <c r="M731" s="16"/>
    </row>
    <row r="732" spans="1:13">
      <c r="A732" s="45"/>
      <c r="B732" s="45"/>
      <c r="C732" s="45"/>
      <c r="D732" s="45"/>
      <c r="E732" s="45"/>
      <c r="F732" s="45"/>
      <c r="G732" s="45"/>
      <c r="H732" s="45"/>
      <c r="L732" s="16"/>
      <c r="M732" s="16"/>
    </row>
    <row r="733" spans="1:13">
      <c r="A733" s="45"/>
      <c r="B733" s="45"/>
      <c r="C733" s="45"/>
      <c r="D733" s="45"/>
      <c r="E733" s="45"/>
      <c r="F733" s="45"/>
      <c r="G733" s="45"/>
      <c r="H733" s="45"/>
      <c r="L733" s="16"/>
      <c r="M733" s="16"/>
    </row>
    <row r="734" spans="1:13">
      <c r="A734" s="45"/>
      <c r="B734" s="45"/>
      <c r="C734" s="45"/>
      <c r="D734" s="45"/>
      <c r="E734" s="45"/>
      <c r="F734" s="45"/>
      <c r="G734" s="45"/>
      <c r="H734" s="45"/>
      <c r="L734" s="16"/>
      <c r="M734" s="16"/>
    </row>
    <row r="735" spans="1:13">
      <c r="A735" s="45"/>
      <c r="B735" s="45"/>
      <c r="C735" s="45"/>
      <c r="D735" s="45"/>
      <c r="E735" s="45"/>
      <c r="F735" s="45"/>
      <c r="G735" s="45"/>
      <c r="H735" s="45"/>
      <c r="L735" s="16"/>
      <c r="M735" s="16"/>
    </row>
    <row r="736" spans="1:13">
      <c r="A736" s="45"/>
      <c r="B736" s="45"/>
      <c r="C736" s="45"/>
      <c r="D736" s="45"/>
      <c r="E736" s="45"/>
      <c r="F736" s="45"/>
      <c r="G736" s="45"/>
      <c r="H736" s="45"/>
      <c r="L736" s="16"/>
      <c r="M736" s="16"/>
    </row>
    <row r="737" spans="1:13">
      <c r="A737" s="45"/>
      <c r="B737" s="45"/>
      <c r="C737" s="45"/>
      <c r="D737" s="45"/>
      <c r="E737" s="45"/>
      <c r="F737" s="45"/>
      <c r="G737" s="45"/>
      <c r="H737" s="45"/>
      <c r="L737" s="16"/>
      <c r="M737" s="16"/>
    </row>
    <row r="738" spans="1:13">
      <c r="A738" s="45"/>
      <c r="B738" s="45"/>
      <c r="C738" s="45"/>
      <c r="D738" s="45"/>
      <c r="E738" s="45"/>
      <c r="F738" s="45"/>
      <c r="G738" s="45"/>
      <c r="H738" s="45"/>
      <c r="L738" s="16"/>
      <c r="M738" s="16"/>
    </row>
    <row r="739" spans="1:13">
      <c r="A739" s="45"/>
      <c r="B739" s="45"/>
      <c r="C739" s="45"/>
      <c r="D739" s="45"/>
      <c r="E739" s="45"/>
      <c r="F739" s="45"/>
      <c r="G739" s="45"/>
      <c r="H739" s="45"/>
      <c r="L739" s="16"/>
      <c r="M739" s="16"/>
    </row>
    <row r="740" spans="1:13">
      <c r="A740" s="45"/>
      <c r="B740" s="45"/>
      <c r="C740" s="45"/>
      <c r="D740" s="45"/>
      <c r="E740" s="45"/>
      <c r="F740" s="45"/>
      <c r="G740" s="45"/>
      <c r="H740" s="45"/>
      <c r="L740" s="16"/>
      <c r="M740" s="16"/>
    </row>
    <row r="741" spans="1:13">
      <c r="A741" s="45"/>
      <c r="B741" s="45"/>
      <c r="C741" s="45"/>
      <c r="D741" s="45"/>
      <c r="E741" s="45"/>
      <c r="F741" s="45"/>
      <c r="G741" s="45"/>
      <c r="H741" s="45"/>
      <c r="L741" s="16"/>
      <c r="M741" s="16"/>
    </row>
    <row r="742" spans="1:13">
      <c r="A742" s="45"/>
      <c r="B742" s="45"/>
      <c r="C742" s="45"/>
      <c r="D742" s="45"/>
      <c r="E742" s="45"/>
      <c r="F742" s="45"/>
      <c r="G742" s="45"/>
      <c r="H742" s="45"/>
      <c r="L742" s="16"/>
      <c r="M742" s="16"/>
    </row>
    <row r="743" spans="1:13">
      <c r="A743" s="45"/>
      <c r="B743" s="45"/>
      <c r="C743" s="45"/>
      <c r="D743" s="45"/>
      <c r="E743" s="45"/>
      <c r="F743" s="45"/>
      <c r="G743" s="45"/>
      <c r="H743" s="45"/>
      <c r="L743" s="16"/>
      <c r="M743" s="16"/>
    </row>
    <row r="744" spans="1:13">
      <c r="A744" s="45"/>
      <c r="B744" s="45"/>
      <c r="C744" s="45"/>
      <c r="D744" s="45"/>
      <c r="E744" s="45"/>
      <c r="F744" s="45"/>
      <c r="G744" s="45"/>
      <c r="H744" s="45"/>
      <c r="L744" s="16"/>
      <c r="M744" s="16"/>
    </row>
    <row r="745" spans="1:13">
      <c r="A745" s="45"/>
      <c r="B745" s="45"/>
      <c r="C745" s="45"/>
      <c r="D745" s="45"/>
      <c r="E745" s="45"/>
      <c r="F745" s="45"/>
      <c r="G745" s="45"/>
      <c r="H745" s="45"/>
      <c r="L745" s="16"/>
      <c r="M745" s="16"/>
    </row>
    <row r="746" spans="1:13">
      <c r="A746" s="45"/>
      <c r="B746" s="45"/>
      <c r="C746" s="45"/>
      <c r="D746" s="45"/>
      <c r="E746" s="45"/>
      <c r="F746" s="45"/>
      <c r="G746" s="45"/>
      <c r="H746" s="45"/>
      <c r="L746" s="16"/>
      <c r="M746" s="16"/>
    </row>
    <row r="747" spans="1:13">
      <c r="A747" s="45"/>
      <c r="B747" s="45"/>
      <c r="C747" s="45"/>
      <c r="D747" s="45"/>
      <c r="E747" s="45"/>
      <c r="F747" s="45"/>
      <c r="G747" s="45"/>
      <c r="H747" s="45"/>
      <c r="L747" s="16"/>
      <c r="M747" s="16"/>
    </row>
    <row r="748" spans="1:13">
      <c r="A748" s="45"/>
      <c r="B748" s="45"/>
      <c r="C748" s="45"/>
      <c r="D748" s="45"/>
      <c r="E748" s="45"/>
      <c r="F748" s="45"/>
      <c r="G748" s="45"/>
      <c r="H748" s="45"/>
      <c r="L748" s="16"/>
      <c r="M748" s="16"/>
    </row>
    <row r="749" spans="1:13">
      <c r="A749" s="45"/>
      <c r="B749" s="45"/>
      <c r="C749" s="45"/>
      <c r="D749" s="45"/>
      <c r="E749" s="45"/>
      <c r="F749" s="45"/>
      <c r="G749" s="45"/>
      <c r="H749" s="45"/>
      <c r="L749" s="16"/>
      <c r="M749" s="16"/>
    </row>
    <row r="750" spans="1:13">
      <c r="A750" s="45"/>
      <c r="B750" s="45"/>
      <c r="C750" s="45"/>
      <c r="D750" s="45"/>
      <c r="E750" s="45"/>
      <c r="F750" s="45"/>
      <c r="G750" s="45"/>
      <c r="H750" s="45"/>
      <c r="L750" s="16"/>
      <c r="M750" s="16"/>
    </row>
    <row r="751" spans="1:13">
      <c r="A751" s="45"/>
      <c r="B751" s="45"/>
      <c r="C751" s="45"/>
      <c r="D751" s="45"/>
      <c r="E751" s="45"/>
      <c r="F751" s="45"/>
      <c r="G751" s="45"/>
      <c r="H751" s="45"/>
      <c r="L751" s="16"/>
      <c r="M751" s="16"/>
    </row>
    <row r="752" spans="1:13">
      <c r="A752" s="45"/>
      <c r="B752" s="45"/>
      <c r="C752" s="45"/>
      <c r="D752" s="45"/>
      <c r="E752" s="45"/>
      <c r="F752" s="45"/>
      <c r="G752" s="45"/>
      <c r="H752" s="45"/>
      <c r="L752" s="16"/>
      <c r="M752" s="16"/>
    </row>
    <row r="753" spans="1:13">
      <c r="A753" s="45"/>
      <c r="B753" s="45"/>
      <c r="C753" s="45"/>
      <c r="D753" s="45"/>
      <c r="E753" s="45"/>
      <c r="F753" s="45"/>
      <c r="G753" s="45"/>
      <c r="H753" s="45"/>
      <c r="L753" s="16"/>
      <c r="M753" s="16"/>
    </row>
    <row r="754" spans="1:13">
      <c r="A754" s="45"/>
      <c r="B754" s="45"/>
      <c r="C754" s="45"/>
      <c r="D754" s="45"/>
      <c r="E754" s="45"/>
      <c r="F754" s="45"/>
      <c r="G754" s="45"/>
      <c r="H754" s="45"/>
      <c r="L754" s="16"/>
      <c r="M754" s="16"/>
    </row>
    <row r="755" spans="1:13">
      <c r="A755" s="45"/>
      <c r="B755" s="45"/>
      <c r="C755" s="45"/>
      <c r="D755" s="45"/>
      <c r="E755" s="45"/>
      <c r="F755" s="45"/>
      <c r="G755" s="45"/>
      <c r="H755" s="45"/>
      <c r="L755" s="16"/>
      <c r="M755" s="16"/>
    </row>
    <row r="756" spans="1:13">
      <c r="A756" s="45"/>
      <c r="B756" s="45"/>
      <c r="C756" s="45"/>
      <c r="D756" s="45"/>
      <c r="E756" s="45"/>
      <c r="F756" s="45"/>
      <c r="G756" s="45"/>
      <c r="H756" s="45"/>
      <c r="L756" s="16"/>
      <c r="M756" s="16"/>
    </row>
    <row r="757" spans="1:13">
      <c r="A757" s="45"/>
      <c r="B757" s="45"/>
      <c r="C757" s="45"/>
      <c r="D757" s="45"/>
      <c r="E757" s="45"/>
      <c r="F757" s="45"/>
      <c r="G757" s="45"/>
      <c r="H757" s="45"/>
      <c r="L757" s="16"/>
      <c r="M757" s="16"/>
    </row>
    <row r="758" spans="1:13">
      <c r="A758" s="45"/>
      <c r="B758" s="45"/>
      <c r="C758" s="45"/>
      <c r="D758" s="45"/>
      <c r="E758" s="45"/>
      <c r="F758" s="45"/>
      <c r="G758" s="45"/>
      <c r="H758" s="45"/>
      <c r="L758" s="16"/>
      <c r="M758" s="16"/>
    </row>
    <row r="759" spans="1:13">
      <c r="A759" s="45"/>
      <c r="B759" s="45"/>
      <c r="C759" s="45"/>
      <c r="D759" s="45"/>
      <c r="E759" s="45"/>
      <c r="F759" s="45"/>
      <c r="G759" s="45"/>
      <c r="H759" s="45"/>
      <c r="L759" s="16"/>
      <c r="M759" s="16"/>
    </row>
    <row r="760" spans="1:13">
      <c r="A760" s="45"/>
      <c r="B760" s="45"/>
      <c r="C760" s="45"/>
      <c r="D760" s="45"/>
      <c r="E760" s="45"/>
      <c r="F760" s="45"/>
      <c r="G760" s="45"/>
      <c r="H760" s="45"/>
      <c r="L760" s="16"/>
      <c r="M760" s="16"/>
    </row>
    <row r="761" spans="1:13">
      <c r="A761" s="45"/>
      <c r="B761" s="45"/>
      <c r="C761" s="45"/>
      <c r="D761" s="45"/>
      <c r="E761" s="45"/>
      <c r="F761" s="45"/>
      <c r="G761" s="45"/>
      <c r="H761" s="45"/>
      <c r="L761" s="16"/>
      <c r="M761" s="16"/>
    </row>
    <row r="762" spans="1:13">
      <c r="A762" s="45"/>
      <c r="B762" s="45"/>
      <c r="C762" s="45"/>
      <c r="D762" s="45"/>
      <c r="E762" s="45"/>
      <c r="F762" s="45"/>
      <c r="G762" s="45"/>
      <c r="H762" s="45"/>
      <c r="L762" s="16"/>
      <c r="M762" s="16"/>
    </row>
    <row r="763" spans="1:13">
      <c r="A763" s="45"/>
      <c r="B763" s="45"/>
      <c r="C763" s="45"/>
      <c r="D763" s="45"/>
      <c r="E763" s="45"/>
      <c r="F763" s="45"/>
      <c r="G763" s="45"/>
      <c r="H763" s="45"/>
      <c r="L763" s="16"/>
      <c r="M763" s="16"/>
    </row>
    <row r="764" spans="1:13">
      <c r="A764" s="45"/>
      <c r="B764" s="45"/>
      <c r="C764" s="45"/>
      <c r="D764" s="45"/>
      <c r="E764" s="45"/>
      <c r="F764" s="45"/>
      <c r="G764" s="45"/>
      <c r="H764" s="45"/>
      <c r="L764" s="16"/>
      <c r="M764" s="16"/>
    </row>
    <row r="765" spans="1:13">
      <c r="A765" s="45"/>
      <c r="B765" s="45"/>
      <c r="C765" s="45"/>
      <c r="D765" s="45"/>
      <c r="E765" s="45"/>
      <c r="F765" s="45"/>
      <c r="G765" s="45"/>
      <c r="H765" s="45"/>
      <c r="L765" s="16"/>
      <c r="M765" s="16"/>
    </row>
    <row r="766" spans="1:13">
      <c r="A766" s="45"/>
      <c r="B766" s="45"/>
      <c r="C766" s="45"/>
      <c r="D766" s="45"/>
      <c r="E766" s="45"/>
      <c r="F766" s="45"/>
      <c r="G766" s="45"/>
      <c r="H766" s="45"/>
      <c r="L766" s="16"/>
      <c r="M766" s="16"/>
    </row>
    <row r="767" spans="1:13">
      <c r="A767" s="45"/>
      <c r="B767" s="45"/>
      <c r="C767" s="45"/>
      <c r="D767" s="45"/>
      <c r="E767" s="45"/>
      <c r="F767" s="45"/>
      <c r="G767" s="45"/>
      <c r="H767" s="45"/>
      <c r="L767" s="16"/>
      <c r="M767" s="16"/>
    </row>
    <row r="768" spans="1:13">
      <c r="A768" s="45"/>
      <c r="B768" s="45"/>
      <c r="C768" s="45"/>
      <c r="D768" s="45"/>
      <c r="E768" s="45"/>
      <c r="F768" s="45"/>
      <c r="G768" s="45"/>
      <c r="H768" s="45"/>
      <c r="L768" s="16"/>
      <c r="M768" s="16"/>
    </row>
    <row r="769" spans="1:13">
      <c r="A769" s="45"/>
      <c r="B769" s="45"/>
      <c r="C769" s="45"/>
      <c r="D769" s="45"/>
      <c r="E769" s="45"/>
      <c r="F769" s="45"/>
      <c r="G769" s="45"/>
      <c r="H769" s="45"/>
      <c r="L769" s="16"/>
      <c r="M769" s="16"/>
    </row>
    <row r="770" spans="1:13">
      <c r="A770" s="45"/>
      <c r="B770" s="45"/>
      <c r="C770" s="45"/>
      <c r="D770" s="45"/>
      <c r="E770" s="45"/>
      <c r="F770" s="45"/>
      <c r="G770" s="45"/>
      <c r="H770" s="45"/>
      <c r="L770" s="16"/>
      <c r="M770" s="16"/>
    </row>
    <row r="771" spans="1:13">
      <c r="A771" s="45"/>
      <c r="B771" s="45"/>
      <c r="C771" s="45"/>
      <c r="D771" s="45"/>
      <c r="E771" s="45"/>
      <c r="F771" s="45"/>
      <c r="G771" s="45"/>
      <c r="H771" s="45"/>
      <c r="L771" s="16"/>
      <c r="M771" s="16"/>
    </row>
    <row r="772" spans="1:13">
      <c r="A772" s="45"/>
      <c r="B772" s="45"/>
      <c r="C772" s="45"/>
      <c r="D772" s="45"/>
      <c r="E772" s="45"/>
      <c r="F772" s="45"/>
      <c r="G772" s="45"/>
      <c r="H772" s="45"/>
      <c r="L772" s="16"/>
      <c r="M772" s="16"/>
    </row>
    <row r="773" spans="1:13">
      <c r="A773" s="45"/>
      <c r="B773" s="45"/>
      <c r="C773" s="45"/>
      <c r="D773" s="45"/>
      <c r="E773" s="45"/>
      <c r="F773" s="45"/>
      <c r="G773" s="45"/>
      <c r="H773" s="45"/>
      <c r="L773" s="16"/>
      <c r="M773" s="16"/>
    </row>
    <row r="774" spans="1:13">
      <c r="A774" s="45"/>
      <c r="B774" s="45"/>
      <c r="C774" s="45"/>
      <c r="D774" s="45"/>
      <c r="E774" s="45"/>
      <c r="F774" s="45"/>
      <c r="G774" s="45"/>
      <c r="H774" s="45"/>
      <c r="L774" s="16"/>
      <c r="M774" s="16"/>
    </row>
    <row r="775" spans="1:13">
      <c r="A775" s="45"/>
      <c r="B775" s="45"/>
      <c r="C775" s="45"/>
      <c r="D775" s="45"/>
      <c r="E775" s="45"/>
      <c r="F775" s="45"/>
      <c r="G775" s="45"/>
      <c r="H775" s="45"/>
      <c r="L775" s="16"/>
      <c r="M775" s="16"/>
    </row>
    <row r="776" spans="1:13">
      <c r="A776" s="45"/>
      <c r="B776" s="45"/>
      <c r="C776" s="45"/>
      <c r="D776" s="45"/>
      <c r="E776" s="45"/>
      <c r="F776" s="45"/>
      <c r="G776" s="45"/>
      <c r="H776" s="45"/>
      <c r="L776" s="16"/>
      <c r="M776" s="16"/>
    </row>
    <row r="777" spans="1:13">
      <c r="A777" s="45"/>
      <c r="B777" s="45"/>
      <c r="C777" s="45"/>
      <c r="D777" s="45"/>
      <c r="E777" s="45"/>
      <c r="F777" s="45"/>
      <c r="G777" s="45"/>
      <c r="H777" s="45"/>
      <c r="L777" s="16"/>
      <c r="M777" s="16"/>
    </row>
    <row r="778" spans="1:13">
      <c r="A778" s="45"/>
      <c r="B778" s="45"/>
      <c r="C778" s="45"/>
      <c r="D778" s="45"/>
      <c r="E778" s="45"/>
      <c r="F778" s="45"/>
      <c r="G778" s="45"/>
      <c r="H778" s="45"/>
      <c r="L778" s="16"/>
      <c r="M778" s="16"/>
    </row>
    <row r="779" spans="1:13">
      <c r="A779" s="45"/>
      <c r="B779" s="45"/>
      <c r="C779" s="45"/>
      <c r="D779" s="45"/>
      <c r="E779" s="45"/>
      <c r="F779" s="45"/>
      <c r="G779" s="45"/>
      <c r="H779" s="45"/>
      <c r="L779" s="16"/>
      <c r="M779" s="16"/>
    </row>
    <row r="780" spans="1:13">
      <c r="A780" s="45"/>
      <c r="B780" s="45"/>
      <c r="C780" s="45"/>
      <c r="D780" s="45"/>
      <c r="E780" s="45"/>
      <c r="F780" s="45"/>
      <c r="G780" s="45"/>
      <c r="H780" s="45"/>
      <c r="L780" s="16"/>
      <c r="M780" s="16"/>
    </row>
    <row r="781" spans="1:13">
      <c r="A781" s="45"/>
      <c r="B781" s="45"/>
      <c r="C781" s="45"/>
      <c r="D781" s="45"/>
      <c r="E781" s="45"/>
      <c r="F781" s="45"/>
      <c r="G781" s="45"/>
      <c r="H781" s="45"/>
      <c r="L781" s="16"/>
      <c r="M781" s="16"/>
    </row>
    <row r="782" spans="1:13">
      <c r="A782" s="45"/>
      <c r="B782" s="45"/>
      <c r="C782" s="45"/>
      <c r="D782" s="45"/>
      <c r="E782" s="45"/>
      <c r="F782" s="45"/>
      <c r="G782" s="45"/>
      <c r="H782" s="45"/>
      <c r="L782" s="16"/>
      <c r="M782" s="16"/>
    </row>
    <row r="783" spans="1:13">
      <c r="A783" s="45"/>
      <c r="B783" s="45"/>
      <c r="C783" s="45"/>
      <c r="D783" s="45"/>
      <c r="E783" s="45"/>
      <c r="F783" s="45"/>
      <c r="G783" s="45"/>
      <c r="H783" s="45"/>
      <c r="L783" s="16"/>
      <c r="M783" s="16"/>
    </row>
    <row r="784" spans="1:13">
      <c r="A784" s="45"/>
      <c r="B784" s="45"/>
      <c r="C784" s="45"/>
      <c r="D784" s="45"/>
      <c r="E784" s="45"/>
      <c r="F784" s="45"/>
      <c r="G784" s="45"/>
      <c r="H784" s="45"/>
      <c r="L784" s="16"/>
      <c r="M784" s="16"/>
    </row>
    <row r="785" spans="1:13">
      <c r="A785" s="45"/>
      <c r="B785" s="45"/>
      <c r="C785" s="45"/>
      <c r="D785" s="45"/>
      <c r="E785" s="45"/>
      <c r="F785" s="45"/>
      <c r="G785" s="45"/>
      <c r="H785" s="45"/>
      <c r="L785" s="16"/>
      <c r="M785" s="16"/>
    </row>
    <row r="786" spans="1:13">
      <c r="A786" s="45"/>
      <c r="B786" s="45"/>
      <c r="C786" s="45"/>
      <c r="D786" s="45"/>
      <c r="E786" s="45"/>
      <c r="F786" s="45"/>
      <c r="G786" s="45"/>
      <c r="H786" s="45"/>
      <c r="L786" s="16"/>
      <c r="M786" s="16"/>
    </row>
    <row r="787" spans="1:13">
      <c r="A787" s="45"/>
      <c r="B787" s="45"/>
      <c r="C787" s="45"/>
      <c r="D787" s="45"/>
      <c r="E787" s="45"/>
      <c r="F787" s="45"/>
      <c r="G787" s="45"/>
      <c r="H787" s="45"/>
      <c r="L787" s="16"/>
      <c r="M787" s="16"/>
    </row>
    <row r="788" spans="1:13">
      <c r="A788" s="45"/>
      <c r="B788" s="45"/>
      <c r="C788" s="45"/>
      <c r="D788" s="45"/>
      <c r="E788" s="45"/>
      <c r="F788" s="45"/>
      <c r="G788" s="45"/>
      <c r="H788" s="45"/>
      <c r="L788" s="16"/>
      <c r="M788" s="16"/>
    </row>
    <row r="789" spans="1:13">
      <c r="A789" s="45"/>
      <c r="B789" s="45"/>
      <c r="C789" s="45"/>
      <c r="D789" s="45"/>
      <c r="E789" s="45"/>
      <c r="F789" s="45"/>
      <c r="G789" s="45"/>
      <c r="H789" s="45"/>
      <c r="L789" s="16"/>
      <c r="M789" s="16"/>
    </row>
    <row r="790" spans="1:13">
      <c r="A790" s="45"/>
      <c r="B790" s="45"/>
      <c r="C790" s="45"/>
      <c r="D790" s="45"/>
      <c r="E790" s="45"/>
      <c r="F790" s="45"/>
      <c r="G790" s="45"/>
      <c r="H790" s="45"/>
      <c r="L790" s="16"/>
      <c r="M790" s="16"/>
    </row>
    <row r="791" spans="1:13">
      <c r="A791" s="45"/>
      <c r="B791" s="45"/>
      <c r="C791" s="45"/>
      <c r="D791" s="45"/>
      <c r="E791" s="45"/>
      <c r="F791" s="45"/>
      <c r="G791" s="45"/>
      <c r="H791" s="45"/>
      <c r="L791" s="16"/>
      <c r="M791" s="16"/>
    </row>
    <row r="792" spans="1:13">
      <c r="A792" s="45"/>
      <c r="B792" s="45"/>
      <c r="C792" s="45"/>
      <c r="D792" s="45"/>
      <c r="E792" s="45"/>
      <c r="F792" s="45"/>
      <c r="G792" s="45"/>
      <c r="H792" s="45"/>
      <c r="L792" s="16"/>
      <c r="M792" s="16"/>
    </row>
    <row r="793" spans="1:13">
      <c r="A793" s="45"/>
      <c r="B793" s="45"/>
      <c r="C793" s="45"/>
      <c r="D793" s="45"/>
      <c r="E793" s="45"/>
      <c r="F793" s="45"/>
      <c r="G793" s="45"/>
      <c r="H793" s="45"/>
      <c r="L793" s="16"/>
      <c r="M793" s="16"/>
    </row>
    <row r="794" spans="1:13">
      <c r="A794" s="45"/>
      <c r="B794" s="45"/>
      <c r="C794" s="45"/>
      <c r="D794" s="45"/>
      <c r="E794" s="45"/>
      <c r="F794" s="45"/>
      <c r="G794" s="45"/>
      <c r="H794" s="45"/>
      <c r="L794" s="16"/>
      <c r="M794" s="16"/>
    </row>
    <row r="795" spans="1:13">
      <c r="A795" s="45"/>
      <c r="B795" s="45"/>
      <c r="C795" s="45"/>
      <c r="D795" s="45"/>
      <c r="E795" s="45"/>
      <c r="F795" s="45"/>
      <c r="G795" s="45"/>
      <c r="H795" s="45"/>
      <c r="L795" s="16"/>
      <c r="M795" s="16"/>
    </row>
    <row r="796" spans="1:13">
      <c r="A796" s="45"/>
      <c r="B796" s="45"/>
      <c r="C796" s="45"/>
      <c r="D796" s="45"/>
      <c r="E796" s="45"/>
      <c r="F796" s="45"/>
      <c r="G796" s="45"/>
      <c r="H796" s="45"/>
      <c r="L796" s="16"/>
      <c r="M796" s="16"/>
    </row>
    <row r="797" spans="1:13">
      <c r="A797" s="45"/>
      <c r="B797" s="45"/>
      <c r="C797" s="45"/>
      <c r="D797" s="45"/>
      <c r="E797" s="45"/>
      <c r="F797" s="45"/>
      <c r="G797" s="45"/>
      <c r="H797" s="45"/>
      <c r="L797" s="16"/>
      <c r="M797" s="16"/>
    </row>
    <row r="798" spans="1:13">
      <c r="A798" s="45"/>
      <c r="B798" s="45"/>
      <c r="C798" s="45"/>
      <c r="D798" s="45"/>
      <c r="E798" s="45"/>
      <c r="F798" s="45"/>
      <c r="G798" s="45"/>
      <c r="H798" s="45"/>
      <c r="L798" s="16"/>
      <c r="M798" s="16"/>
    </row>
    <row r="799" spans="1:13">
      <c r="A799" s="45"/>
      <c r="B799" s="45"/>
      <c r="C799" s="45"/>
      <c r="D799" s="45"/>
      <c r="E799" s="45"/>
      <c r="F799" s="45"/>
      <c r="G799" s="45"/>
      <c r="H799" s="45"/>
      <c r="L799" s="16"/>
      <c r="M799" s="16"/>
    </row>
    <row r="800" spans="1:13">
      <c r="A800" s="45"/>
      <c r="B800" s="45"/>
      <c r="C800" s="45"/>
      <c r="D800" s="45"/>
      <c r="E800" s="45"/>
      <c r="F800" s="45"/>
      <c r="G800" s="45"/>
      <c r="H800" s="45"/>
      <c r="L800" s="16"/>
      <c r="M800" s="16"/>
    </row>
    <row r="801" spans="1:13">
      <c r="A801" s="45"/>
      <c r="B801" s="45"/>
      <c r="C801" s="45"/>
      <c r="D801" s="45"/>
      <c r="E801" s="45"/>
      <c r="F801" s="45"/>
      <c r="G801" s="45"/>
      <c r="H801" s="45"/>
      <c r="L801" s="16"/>
      <c r="M801" s="16"/>
    </row>
    <row r="802" spans="1:13">
      <c r="A802" s="45"/>
      <c r="B802" s="45"/>
      <c r="C802" s="45"/>
      <c r="D802" s="45"/>
      <c r="E802" s="45"/>
      <c r="F802" s="45"/>
      <c r="G802" s="45"/>
      <c r="H802" s="45"/>
      <c r="L802" s="16"/>
      <c r="M802" s="16"/>
    </row>
    <row r="803" spans="1:13">
      <c r="A803" s="45"/>
      <c r="B803" s="45"/>
      <c r="C803" s="45"/>
      <c r="D803" s="45"/>
      <c r="E803" s="45"/>
      <c r="F803" s="45"/>
      <c r="G803" s="45"/>
      <c r="H803" s="45"/>
      <c r="L803" s="16"/>
      <c r="M803" s="16"/>
    </row>
    <row r="804" spans="1:13">
      <c r="A804" s="45"/>
      <c r="B804" s="45"/>
      <c r="C804" s="45"/>
      <c r="D804" s="45"/>
      <c r="E804" s="45"/>
      <c r="F804" s="45"/>
      <c r="G804" s="45"/>
      <c r="H804" s="45"/>
      <c r="L804" s="16"/>
      <c r="M804" s="16"/>
    </row>
    <row r="805" spans="1:13">
      <c r="A805" s="45"/>
      <c r="B805" s="45"/>
      <c r="C805" s="45"/>
      <c r="D805" s="45"/>
      <c r="E805" s="45"/>
      <c r="F805" s="45"/>
      <c r="G805" s="45"/>
      <c r="H805" s="45"/>
      <c r="L805" s="16"/>
      <c r="M805" s="16"/>
    </row>
    <row r="806" spans="1:13">
      <c r="A806" s="45"/>
      <c r="B806" s="45"/>
      <c r="C806" s="45"/>
      <c r="D806" s="45"/>
      <c r="E806" s="45"/>
      <c r="F806" s="45"/>
      <c r="G806" s="45"/>
      <c r="H806" s="45"/>
      <c r="L806" s="16"/>
      <c r="M806" s="16"/>
    </row>
    <row r="807" spans="1:13">
      <c r="A807" s="45"/>
      <c r="B807" s="45"/>
      <c r="C807" s="45"/>
      <c r="D807" s="45"/>
      <c r="E807" s="45"/>
      <c r="F807" s="45"/>
      <c r="G807" s="45"/>
      <c r="H807" s="45"/>
      <c r="L807" s="16"/>
      <c r="M807" s="16"/>
    </row>
    <row r="808" spans="1:13">
      <c r="A808" s="45"/>
      <c r="B808" s="45"/>
      <c r="C808" s="45"/>
      <c r="D808" s="45"/>
      <c r="E808" s="45"/>
      <c r="F808" s="45"/>
      <c r="G808" s="45"/>
      <c r="H808" s="45"/>
      <c r="L808" s="16"/>
      <c r="M808" s="16"/>
    </row>
    <row r="809" spans="1:13">
      <c r="A809" s="45"/>
      <c r="B809" s="45"/>
      <c r="C809" s="45"/>
      <c r="D809" s="45"/>
      <c r="E809" s="45"/>
      <c r="F809" s="45"/>
      <c r="G809" s="45"/>
      <c r="H809" s="45"/>
      <c r="L809" s="16"/>
      <c r="M809" s="16"/>
    </row>
    <row r="810" spans="1:13">
      <c r="A810" s="45"/>
      <c r="B810" s="45"/>
      <c r="C810" s="45"/>
      <c r="D810" s="45"/>
      <c r="E810" s="45"/>
      <c r="F810" s="45"/>
      <c r="G810" s="45"/>
      <c r="H810" s="45"/>
      <c r="L810" s="16"/>
      <c r="M810" s="16"/>
    </row>
    <row r="811" spans="1:13">
      <c r="A811" s="45"/>
      <c r="B811" s="45"/>
      <c r="C811" s="45"/>
      <c r="D811" s="45"/>
      <c r="E811" s="45"/>
      <c r="F811" s="45"/>
      <c r="G811" s="45"/>
      <c r="H811" s="45"/>
      <c r="L811" s="16"/>
      <c r="M811" s="16"/>
    </row>
    <row r="812" spans="1:13">
      <c r="A812" s="45"/>
      <c r="B812" s="45"/>
      <c r="C812" s="45"/>
      <c r="D812" s="45"/>
      <c r="E812" s="45"/>
      <c r="F812" s="45"/>
      <c r="G812" s="45"/>
      <c r="H812" s="45"/>
      <c r="L812" s="16"/>
      <c r="M812" s="16"/>
    </row>
    <row r="813" spans="1:13">
      <c r="A813" s="45"/>
      <c r="B813" s="45"/>
      <c r="C813" s="45"/>
      <c r="D813" s="45"/>
      <c r="E813" s="45"/>
      <c r="F813" s="45"/>
      <c r="G813" s="45"/>
      <c r="H813" s="45"/>
      <c r="L813" s="16"/>
      <c r="M813" s="16"/>
    </row>
    <row r="814" spans="1:13">
      <c r="A814" s="45"/>
      <c r="B814" s="45"/>
      <c r="C814" s="45"/>
      <c r="D814" s="45"/>
      <c r="E814" s="45"/>
      <c r="F814" s="45"/>
      <c r="G814" s="45"/>
      <c r="H814" s="45"/>
      <c r="L814" s="16"/>
      <c r="M814" s="16"/>
    </row>
    <row r="815" spans="1:13">
      <c r="A815" s="45"/>
      <c r="B815" s="45"/>
      <c r="C815" s="45"/>
      <c r="D815" s="45"/>
      <c r="E815" s="45"/>
      <c r="F815" s="45"/>
      <c r="G815" s="45"/>
      <c r="H815" s="45"/>
      <c r="L815" s="16"/>
      <c r="M815" s="16"/>
    </row>
    <row r="816" spans="1:13">
      <c r="A816" s="45"/>
      <c r="B816" s="45"/>
      <c r="C816" s="45"/>
      <c r="D816" s="45"/>
      <c r="E816" s="45"/>
      <c r="F816" s="45"/>
      <c r="G816" s="45"/>
      <c r="H816" s="45"/>
      <c r="L816" s="16"/>
      <c r="M816" s="16"/>
    </row>
    <row r="817" spans="1:13">
      <c r="A817" s="45"/>
      <c r="B817" s="45"/>
      <c r="C817" s="45"/>
      <c r="D817" s="45"/>
      <c r="E817" s="45"/>
      <c r="F817" s="45"/>
      <c r="G817" s="45"/>
      <c r="H817" s="45"/>
      <c r="L817" s="16"/>
      <c r="M817" s="16"/>
    </row>
    <row r="818" spans="1:13">
      <c r="A818" s="45"/>
      <c r="B818" s="45"/>
      <c r="C818" s="45"/>
      <c r="D818" s="45"/>
      <c r="E818" s="45"/>
      <c r="F818" s="45"/>
      <c r="G818" s="45"/>
      <c r="H818" s="45"/>
      <c r="L818" s="16"/>
      <c r="M818" s="16"/>
    </row>
    <row r="819" spans="1:13">
      <c r="A819" s="45"/>
      <c r="B819" s="45"/>
      <c r="C819" s="45"/>
      <c r="D819" s="45"/>
      <c r="E819" s="45"/>
      <c r="F819" s="45"/>
      <c r="G819" s="45"/>
      <c r="H819" s="45"/>
      <c r="L819" s="16"/>
      <c r="M819" s="16"/>
    </row>
    <row r="820" spans="1:13">
      <c r="A820" s="45"/>
      <c r="B820" s="45"/>
      <c r="C820" s="45"/>
      <c r="D820" s="45"/>
      <c r="E820" s="45"/>
      <c r="F820" s="45"/>
      <c r="G820" s="45"/>
      <c r="H820" s="45"/>
      <c r="L820" s="16"/>
      <c r="M820" s="16"/>
    </row>
    <row r="821" spans="1:13">
      <c r="A821" s="45"/>
      <c r="B821" s="45"/>
      <c r="C821" s="45"/>
      <c r="D821" s="45"/>
      <c r="E821" s="45"/>
      <c r="F821" s="45"/>
      <c r="G821" s="45"/>
      <c r="H821" s="45"/>
      <c r="L821" s="16"/>
      <c r="M821" s="16"/>
    </row>
    <row r="822" spans="1:13">
      <c r="A822" s="45"/>
      <c r="B822" s="45"/>
      <c r="C822" s="45"/>
      <c r="D822" s="45"/>
      <c r="E822" s="45"/>
      <c r="F822" s="45"/>
      <c r="G822" s="45"/>
      <c r="H822" s="45"/>
      <c r="L822" s="16"/>
      <c r="M822" s="16"/>
    </row>
    <row r="823" spans="1:13">
      <c r="A823" s="45"/>
      <c r="B823" s="45"/>
      <c r="C823" s="45"/>
      <c r="D823" s="45"/>
      <c r="E823" s="45"/>
      <c r="F823" s="45"/>
      <c r="G823" s="45"/>
      <c r="H823" s="45"/>
      <c r="L823" s="16"/>
      <c r="M823" s="16"/>
    </row>
    <row r="824" spans="1:13">
      <c r="A824" s="45"/>
      <c r="B824" s="45"/>
      <c r="C824" s="45"/>
      <c r="D824" s="45"/>
      <c r="E824" s="45"/>
      <c r="F824" s="45"/>
      <c r="G824" s="45"/>
      <c r="H824" s="45"/>
      <c r="L824" s="16"/>
      <c r="M824" s="16"/>
    </row>
    <row r="825" spans="1:13">
      <c r="A825" s="45"/>
      <c r="B825" s="45"/>
      <c r="C825" s="45"/>
      <c r="D825" s="45"/>
      <c r="E825" s="45"/>
      <c r="F825" s="45"/>
      <c r="G825" s="45"/>
      <c r="H825" s="45"/>
      <c r="L825" s="16"/>
      <c r="M825" s="16"/>
    </row>
    <row r="826" spans="1:13">
      <c r="A826" s="45"/>
      <c r="B826" s="45"/>
      <c r="C826" s="45"/>
      <c r="D826" s="45"/>
      <c r="E826" s="45"/>
      <c r="F826" s="45"/>
      <c r="G826" s="45"/>
      <c r="H826" s="45"/>
      <c r="L826" s="16"/>
      <c r="M826" s="16"/>
    </row>
    <row r="827" spans="1:13">
      <c r="A827" s="45"/>
      <c r="B827" s="45"/>
      <c r="C827" s="45"/>
      <c r="D827" s="45"/>
      <c r="E827" s="45"/>
      <c r="F827" s="45"/>
      <c r="G827" s="45"/>
      <c r="H827" s="45"/>
      <c r="L827" s="16"/>
      <c r="M827" s="16"/>
    </row>
    <row r="828" spans="1:13">
      <c r="A828" s="45"/>
      <c r="B828" s="45"/>
      <c r="C828" s="45"/>
      <c r="D828" s="45"/>
      <c r="E828" s="45"/>
      <c r="F828" s="45"/>
      <c r="G828" s="45"/>
      <c r="H828" s="45"/>
      <c r="L828" s="16"/>
      <c r="M828" s="16"/>
    </row>
    <row r="829" spans="1:13">
      <c r="A829" s="45"/>
      <c r="B829" s="45"/>
      <c r="C829" s="45"/>
      <c r="D829" s="45"/>
      <c r="E829" s="45"/>
      <c r="F829" s="45"/>
      <c r="G829" s="45"/>
      <c r="H829" s="45"/>
      <c r="L829" s="16"/>
      <c r="M829" s="16"/>
    </row>
    <row r="830" spans="1:13">
      <c r="A830" s="45"/>
      <c r="B830" s="45"/>
      <c r="C830" s="45"/>
      <c r="D830" s="45"/>
      <c r="E830" s="45"/>
      <c r="F830" s="45"/>
      <c r="G830" s="45"/>
      <c r="H830" s="45"/>
      <c r="L830" s="16"/>
      <c r="M830" s="16"/>
    </row>
    <row r="831" spans="1:13">
      <c r="A831" s="45"/>
      <c r="B831" s="45"/>
      <c r="C831" s="45"/>
      <c r="D831" s="45"/>
      <c r="E831" s="45"/>
      <c r="F831" s="45"/>
      <c r="G831" s="45"/>
      <c r="H831" s="45"/>
      <c r="L831" s="16"/>
      <c r="M831" s="16"/>
    </row>
    <row r="832" spans="1:13">
      <c r="A832" s="45"/>
      <c r="B832" s="45"/>
      <c r="C832" s="45"/>
      <c r="D832" s="45"/>
      <c r="E832" s="45"/>
      <c r="F832" s="45"/>
      <c r="G832" s="45"/>
      <c r="H832" s="45"/>
      <c r="L832" s="16"/>
      <c r="M832" s="16"/>
    </row>
    <row r="833" spans="1:13">
      <c r="A833" s="45"/>
      <c r="B833" s="45"/>
      <c r="C833" s="45"/>
      <c r="D833" s="45"/>
      <c r="E833" s="45"/>
      <c r="F833" s="45"/>
      <c r="G833" s="45"/>
      <c r="H833" s="45"/>
      <c r="L833" s="16"/>
      <c r="M833" s="16"/>
    </row>
    <row r="834" spans="1:13">
      <c r="A834" s="45"/>
      <c r="B834" s="45"/>
      <c r="C834" s="45"/>
      <c r="D834" s="45"/>
      <c r="E834" s="45"/>
      <c r="F834" s="45"/>
      <c r="G834" s="45"/>
      <c r="H834" s="45"/>
      <c r="L834" s="16"/>
      <c r="M834" s="16"/>
    </row>
    <row r="835" spans="1:13">
      <c r="A835" s="45"/>
      <c r="B835" s="45"/>
      <c r="C835" s="45"/>
      <c r="D835" s="45"/>
      <c r="E835" s="45"/>
      <c r="F835" s="45"/>
      <c r="G835" s="45"/>
      <c r="H835" s="45"/>
      <c r="L835" s="16"/>
      <c r="M835" s="16"/>
    </row>
    <row r="836" spans="1:13">
      <c r="A836" s="45"/>
      <c r="B836" s="45"/>
      <c r="C836" s="45"/>
      <c r="D836" s="45"/>
      <c r="E836" s="45"/>
      <c r="F836" s="45"/>
      <c r="G836" s="45"/>
      <c r="H836" s="45"/>
      <c r="L836" s="16"/>
      <c r="M836" s="16"/>
    </row>
    <row r="837" spans="1:13">
      <c r="A837" s="45"/>
      <c r="B837" s="45"/>
      <c r="C837" s="45"/>
      <c r="D837" s="45"/>
      <c r="E837" s="45"/>
      <c r="F837" s="45"/>
      <c r="G837" s="45"/>
      <c r="H837" s="45"/>
      <c r="L837" s="16"/>
      <c r="M837" s="16"/>
    </row>
    <row r="838" spans="1:13">
      <c r="A838" s="45"/>
      <c r="B838" s="45"/>
      <c r="C838" s="45"/>
      <c r="D838" s="45"/>
      <c r="E838" s="45"/>
      <c r="F838" s="45"/>
      <c r="G838" s="45"/>
      <c r="H838" s="45"/>
      <c r="L838" s="16"/>
      <c r="M838" s="16"/>
    </row>
    <row r="839" spans="1:13">
      <c r="A839" s="45"/>
      <c r="B839" s="45"/>
      <c r="C839" s="45"/>
      <c r="D839" s="45"/>
      <c r="E839" s="45"/>
      <c r="F839" s="45"/>
      <c r="G839" s="45"/>
      <c r="H839" s="45"/>
      <c r="L839" s="16"/>
      <c r="M839" s="16"/>
    </row>
    <row r="840" spans="1:13">
      <c r="A840" s="45"/>
      <c r="B840" s="45"/>
      <c r="C840" s="45"/>
      <c r="D840" s="45"/>
      <c r="E840" s="45"/>
      <c r="F840" s="45"/>
      <c r="G840" s="45"/>
      <c r="H840" s="45"/>
      <c r="L840" s="16"/>
      <c r="M840" s="16"/>
    </row>
    <row r="841" spans="1:13">
      <c r="A841" s="45"/>
      <c r="B841" s="45"/>
      <c r="C841" s="45"/>
      <c r="D841" s="45"/>
      <c r="E841" s="45"/>
      <c r="F841" s="45"/>
      <c r="G841" s="45"/>
      <c r="H841" s="45"/>
      <c r="L841" s="16"/>
      <c r="M841" s="16"/>
    </row>
    <row r="842" spans="1:13">
      <c r="A842" s="45"/>
      <c r="B842" s="45"/>
      <c r="C842" s="45"/>
      <c r="D842" s="45"/>
      <c r="E842" s="45"/>
      <c r="F842" s="45"/>
      <c r="G842" s="45"/>
      <c r="H842" s="45"/>
      <c r="L842" s="16"/>
      <c r="M842" s="16"/>
    </row>
    <row r="843" spans="1:13">
      <c r="A843" s="45"/>
      <c r="B843" s="45"/>
      <c r="C843" s="45"/>
      <c r="D843" s="45"/>
      <c r="E843" s="45"/>
      <c r="F843" s="45"/>
      <c r="G843" s="45"/>
      <c r="H843" s="45"/>
      <c r="L843" s="16"/>
      <c r="M843" s="16"/>
    </row>
    <row r="844" spans="1:13">
      <c r="A844" s="45"/>
      <c r="B844" s="45"/>
      <c r="C844" s="45"/>
      <c r="D844" s="45"/>
      <c r="E844" s="45"/>
      <c r="F844" s="45"/>
      <c r="G844" s="45"/>
      <c r="H844" s="45"/>
      <c r="L844" s="16"/>
      <c r="M844" s="16"/>
    </row>
    <row r="845" spans="1:13">
      <c r="A845" s="45"/>
      <c r="B845" s="45"/>
      <c r="C845" s="45"/>
      <c r="D845" s="45"/>
      <c r="E845" s="45"/>
      <c r="F845" s="45"/>
      <c r="G845" s="45"/>
      <c r="H845" s="45"/>
      <c r="L845" s="16"/>
      <c r="M845" s="16"/>
    </row>
    <row r="846" spans="1:13">
      <c r="A846" s="45"/>
      <c r="B846" s="45"/>
      <c r="C846" s="45"/>
      <c r="D846" s="45"/>
      <c r="E846" s="45"/>
      <c r="F846" s="45"/>
      <c r="G846" s="45"/>
      <c r="H846" s="45"/>
      <c r="L846" s="16"/>
      <c r="M846" s="16"/>
    </row>
    <row r="847" spans="1:13">
      <c r="A847" s="45"/>
      <c r="B847" s="45"/>
      <c r="C847" s="45"/>
      <c r="D847" s="45"/>
      <c r="E847" s="45"/>
      <c r="F847" s="45"/>
      <c r="G847" s="45"/>
      <c r="H847" s="45"/>
      <c r="L847" s="16"/>
      <c r="M847" s="16"/>
    </row>
    <row r="848" spans="1:13">
      <c r="A848" s="45"/>
      <c r="B848" s="45"/>
      <c r="C848" s="45"/>
      <c r="D848" s="45"/>
      <c r="E848" s="45"/>
      <c r="F848" s="45"/>
      <c r="G848" s="45"/>
      <c r="H848" s="45"/>
      <c r="L848" s="16"/>
      <c r="M848" s="16"/>
    </row>
    <row r="849" spans="1:13">
      <c r="A849" s="45"/>
      <c r="B849" s="45"/>
      <c r="C849" s="45"/>
      <c r="D849" s="45"/>
      <c r="E849" s="45"/>
      <c r="F849" s="45"/>
      <c r="G849" s="45"/>
      <c r="H849" s="45"/>
      <c r="L849" s="16"/>
      <c r="M849" s="16"/>
    </row>
    <row r="850" spans="1:13">
      <c r="A850" s="45"/>
      <c r="B850" s="45"/>
      <c r="C850" s="45"/>
      <c r="D850" s="45"/>
      <c r="E850" s="45"/>
      <c r="F850" s="45"/>
      <c r="G850" s="45"/>
      <c r="H850" s="45"/>
      <c r="L850" s="16"/>
      <c r="M850" s="16"/>
    </row>
    <row r="851" spans="1:13">
      <c r="A851" s="45"/>
      <c r="B851" s="45"/>
      <c r="C851" s="45"/>
      <c r="D851" s="45"/>
      <c r="E851" s="45"/>
      <c r="F851" s="45"/>
      <c r="G851" s="45"/>
      <c r="H851" s="45"/>
      <c r="L851" s="16"/>
      <c r="M851" s="16"/>
    </row>
    <row r="852" spans="1:13">
      <c r="A852" s="45"/>
      <c r="B852" s="45"/>
      <c r="C852" s="45"/>
      <c r="D852" s="45"/>
      <c r="E852" s="45"/>
      <c r="F852" s="45"/>
      <c r="G852" s="45"/>
      <c r="H852" s="45"/>
      <c r="L852" s="16"/>
      <c r="M852" s="16"/>
    </row>
    <row r="853" spans="1:13">
      <c r="A853" s="45"/>
      <c r="B853" s="45"/>
      <c r="C853" s="45"/>
      <c r="D853" s="45"/>
      <c r="E853" s="45"/>
      <c r="F853" s="45"/>
      <c r="G853" s="45"/>
      <c r="H853" s="45"/>
      <c r="L853" s="16"/>
      <c r="M853" s="16"/>
    </row>
    <row r="854" spans="1:13">
      <c r="A854" s="45"/>
      <c r="B854" s="45"/>
      <c r="C854" s="45"/>
      <c r="D854" s="45"/>
      <c r="E854" s="45"/>
      <c r="F854" s="45"/>
      <c r="G854" s="45"/>
      <c r="H854" s="45"/>
      <c r="L854" s="16"/>
      <c r="M854" s="16"/>
    </row>
    <row r="855" spans="1:13">
      <c r="A855" s="45"/>
      <c r="B855" s="45"/>
      <c r="C855" s="45"/>
      <c r="D855" s="45"/>
      <c r="E855" s="45"/>
      <c r="F855" s="45"/>
      <c r="G855" s="45"/>
      <c r="H855" s="45"/>
      <c r="L855" s="16"/>
      <c r="M855" s="16"/>
    </row>
    <row r="856" spans="1:13">
      <c r="A856" s="45"/>
      <c r="B856" s="45"/>
      <c r="C856" s="45"/>
      <c r="D856" s="45"/>
      <c r="E856" s="45"/>
      <c r="F856" s="45"/>
      <c r="G856" s="45"/>
      <c r="H856" s="45"/>
      <c r="L856" s="16"/>
      <c r="M856" s="16"/>
    </row>
    <row r="857" spans="1:13">
      <c r="A857" s="45"/>
      <c r="B857" s="45"/>
      <c r="C857" s="45"/>
      <c r="D857" s="45"/>
      <c r="E857" s="45"/>
      <c r="F857" s="45"/>
      <c r="G857" s="45"/>
      <c r="H857" s="45"/>
      <c r="L857" s="16"/>
      <c r="M857" s="16"/>
    </row>
    <row r="858" spans="1:13">
      <c r="A858" s="45"/>
      <c r="B858" s="45"/>
      <c r="C858" s="45"/>
      <c r="D858" s="45"/>
      <c r="E858" s="45"/>
      <c r="F858" s="45"/>
      <c r="G858" s="45"/>
      <c r="H858" s="45"/>
      <c r="L858" s="16"/>
      <c r="M858" s="16"/>
    </row>
    <row r="859" spans="1:13">
      <c r="A859" s="45"/>
      <c r="B859" s="45"/>
      <c r="C859" s="45"/>
      <c r="D859" s="45"/>
      <c r="E859" s="45"/>
      <c r="F859" s="45"/>
      <c r="G859" s="45"/>
      <c r="H859" s="45"/>
      <c r="L859" s="16"/>
      <c r="M859" s="16"/>
    </row>
    <row r="860" spans="1:13">
      <c r="A860" s="45"/>
      <c r="B860" s="45"/>
      <c r="C860" s="45"/>
      <c r="D860" s="45"/>
      <c r="E860" s="45"/>
      <c r="F860" s="45"/>
      <c r="G860" s="45"/>
      <c r="H860" s="45"/>
      <c r="L860" s="16"/>
      <c r="M860" s="16"/>
    </row>
    <row r="861" spans="1:13">
      <c r="A861" s="45"/>
      <c r="B861" s="45"/>
      <c r="C861" s="45"/>
      <c r="D861" s="45"/>
      <c r="E861" s="45"/>
      <c r="F861" s="45"/>
      <c r="G861" s="45"/>
      <c r="H861" s="45"/>
      <c r="L861" s="16"/>
      <c r="M861" s="16"/>
    </row>
    <row r="862" spans="1:13">
      <c r="A862" s="45"/>
      <c r="B862" s="45"/>
      <c r="C862" s="45"/>
      <c r="D862" s="45"/>
      <c r="E862" s="45"/>
      <c r="F862" s="45"/>
      <c r="G862" s="45"/>
      <c r="H862" s="45"/>
      <c r="L862" s="16"/>
      <c r="M862" s="16"/>
    </row>
    <row r="863" spans="1:13">
      <c r="A863" s="45"/>
      <c r="B863" s="45"/>
      <c r="C863" s="45"/>
      <c r="D863" s="45"/>
      <c r="E863" s="45"/>
      <c r="F863" s="45"/>
      <c r="G863" s="45"/>
      <c r="H863" s="45"/>
      <c r="L863" s="16"/>
      <c r="M863" s="16"/>
    </row>
    <row r="864" spans="1:13">
      <c r="A864" s="45"/>
      <c r="B864" s="45"/>
      <c r="C864" s="45"/>
      <c r="D864" s="45"/>
      <c r="E864" s="45"/>
      <c r="F864" s="45"/>
      <c r="G864" s="45"/>
      <c r="H864" s="45"/>
      <c r="L864" s="16"/>
      <c r="M864" s="16"/>
    </row>
    <row r="865" spans="1:13">
      <c r="A865" s="45"/>
      <c r="B865" s="45"/>
      <c r="C865" s="45"/>
      <c r="D865" s="45"/>
      <c r="E865" s="45"/>
      <c r="F865" s="45"/>
      <c r="G865" s="45"/>
      <c r="H865" s="45"/>
      <c r="L865" s="16"/>
      <c r="M865" s="16"/>
    </row>
    <row r="866" spans="1:13">
      <c r="A866" s="45"/>
      <c r="B866" s="45"/>
      <c r="C866" s="45"/>
      <c r="D866" s="45"/>
      <c r="E866" s="45"/>
      <c r="F866" s="45"/>
      <c r="G866" s="45"/>
      <c r="H866" s="45"/>
      <c r="L866" s="16"/>
      <c r="M866" s="16"/>
    </row>
    <row r="867" spans="1:13">
      <c r="A867" s="45"/>
      <c r="B867" s="45"/>
      <c r="C867" s="45"/>
      <c r="D867" s="45"/>
      <c r="E867" s="45"/>
      <c r="F867" s="45"/>
      <c r="G867" s="45"/>
      <c r="H867" s="45"/>
      <c r="L867" s="16"/>
      <c r="M867" s="16"/>
    </row>
    <row r="868" spans="1:13">
      <c r="A868" s="45"/>
      <c r="B868" s="45"/>
      <c r="C868" s="45"/>
      <c r="D868" s="45"/>
      <c r="E868" s="45"/>
      <c r="F868" s="45"/>
      <c r="G868" s="45"/>
      <c r="H868" s="45"/>
      <c r="L868" s="16"/>
      <c r="M868" s="16"/>
    </row>
    <row r="869" spans="1:13">
      <c r="A869" s="45"/>
      <c r="B869" s="45"/>
      <c r="C869" s="45"/>
      <c r="D869" s="45"/>
      <c r="E869" s="45"/>
      <c r="F869" s="45"/>
      <c r="G869" s="45"/>
      <c r="H869" s="45"/>
      <c r="L869" s="16"/>
      <c r="M869" s="16"/>
    </row>
    <row r="870" spans="1:13">
      <c r="A870" s="45"/>
      <c r="B870" s="45"/>
      <c r="C870" s="45"/>
      <c r="D870" s="45"/>
      <c r="E870" s="45"/>
      <c r="F870" s="45"/>
      <c r="G870" s="45"/>
      <c r="H870" s="45"/>
      <c r="L870" s="16"/>
      <c r="M870" s="16"/>
    </row>
    <row r="871" spans="1:13">
      <c r="A871" s="45"/>
      <c r="B871" s="45"/>
      <c r="C871" s="45"/>
      <c r="D871" s="45"/>
      <c r="E871" s="45"/>
      <c r="F871" s="45"/>
      <c r="G871" s="45"/>
      <c r="H871" s="45"/>
      <c r="L871" s="16"/>
      <c r="M871" s="16"/>
    </row>
    <row r="872" spans="1:13">
      <c r="A872" s="45"/>
      <c r="B872" s="45"/>
      <c r="C872" s="45"/>
      <c r="D872" s="45"/>
      <c r="E872" s="45"/>
      <c r="F872" s="45"/>
      <c r="G872" s="45"/>
      <c r="H872" s="45"/>
      <c r="L872" s="16"/>
      <c r="M872" s="16"/>
    </row>
    <row r="873" spans="1:13">
      <c r="A873" s="45"/>
      <c r="B873" s="45"/>
      <c r="C873" s="45"/>
      <c r="D873" s="45"/>
      <c r="E873" s="45"/>
      <c r="F873" s="45"/>
      <c r="G873" s="45"/>
      <c r="H873" s="45"/>
      <c r="L873" s="16"/>
      <c r="M873" s="16"/>
    </row>
    <row r="874" spans="1:13">
      <c r="A874" s="45"/>
      <c r="B874" s="45"/>
      <c r="C874" s="45"/>
      <c r="D874" s="45"/>
      <c r="E874" s="45"/>
      <c r="F874" s="45"/>
      <c r="G874" s="45"/>
      <c r="H874" s="45"/>
      <c r="L874" s="16"/>
      <c r="M874" s="16"/>
    </row>
    <row r="875" spans="1:13">
      <c r="A875" s="45"/>
      <c r="B875" s="45"/>
      <c r="C875" s="45"/>
      <c r="D875" s="45"/>
      <c r="E875" s="45"/>
      <c r="F875" s="45"/>
      <c r="G875" s="45"/>
      <c r="H875" s="45"/>
      <c r="L875" s="16"/>
      <c r="M875" s="16"/>
    </row>
    <row r="876" spans="1:13">
      <c r="A876" s="45"/>
      <c r="B876" s="45"/>
      <c r="C876" s="45"/>
      <c r="D876" s="45"/>
      <c r="E876" s="45"/>
      <c r="F876" s="45"/>
      <c r="G876" s="45"/>
      <c r="H876" s="45"/>
      <c r="L876" s="16"/>
      <c r="M876" s="16"/>
    </row>
    <row r="877" spans="1:13">
      <c r="A877" s="45"/>
      <c r="B877" s="45"/>
      <c r="C877" s="45"/>
      <c r="D877" s="45"/>
      <c r="E877" s="45"/>
      <c r="F877" s="45"/>
      <c r="G877" s="45"/>
      <c r="H877" s="45"/>
      <c r="L877" s="16"/>
      <c r="M877" s="16"/>
    </row>
    <row r="878" spans="1:13">
      <c r="A878" s="45"/>
      <c r="B878" s="45"/>
      <c r="C878" s="45"/>
      <c r="D878" s="45"/>
      <c r="E878" s="45"/>
      <c r="F878" s="45"/>
      <c r="G878" s="45"/>
      <c r="H878" s="45"/>
      <c r="L878" s="16"/>
      <c r="M878" s="16"/>
    </row>
    <row r="879" spans="1:13">
      <c r="A879" s="45"/>
      <c r="B879" s="45"/>
      <c r="C879" s="45"/>
      <c r="D879" s="45"/>
      <c r="E879" s="45"/>
      <c r="F879" s="45"/>
      <c r="G879" s="45"/>
      <c r="H879" s="45"/>
      <c r="L879" s="16"/>
      <c r="M879" s="16"/>
    </row>
    <row r="880" spans="1:13">
      <c r="A880" s="45"/>
      <c r="B880" s="45"/>
      <c r="C880" s="45"/>
      <c r="D880" s="45"/>
      <c r="E880" s="45"/>
      <c r="F880" s="45"/>
      <c r="G880" s="45"/>
      <c r="H880" s="45"/>
      <c r="L880" s="16"/>
      <c r="M880" s="16"/>
    </row>
    <row r="881" spans="1:13">
      <c r="A881" s="45"/>
      <c r="B881" s="45"/>
      <c r="C881" s="45"/>
      <c r="D881" s="45"/>
      <c r="E881" s="45"/>
      <c r="F881" s="45"/>
      <c r="G881" s="45"/>
      <c r="H881" s="45"/>
      <c r="L881" s="16"/>
      <c r="M881" s="16"/>
    </row>
    <row r="882" spans="1:13">
      <c r="A882" s="45"/>
      <c r="B882" s="45"/>
      <c r="C882" s="45"/>
      <c r="D882" s="45"/>
      <c r="E882" s="45"/>
      <c r="F882" s="45"/>
      <c r="G882" s="45"/>
      <c r="H882" s="45"/>
      <c r="L882" s="16"/>
      <c r="M882" s="16"/>
    </row>
    <row r="883" spans="1:13">
      <c r="A883" s="45"/>
      <c r="B883" s="45"/>
      <c r="C883" s="45"/>
      <c r="D883" s="45"/>
      <c r="E883" s="45"/>
      <c r="F883" s="45"/>
      <c r="G883" s="45"/>
      <c r="H883" s="45"/>
      <c r="L883" s="16"/>
      <c r="M883" s="16"/>
    </row>
    <row r="884" spans="1:13">
      <c r="A884" s="45"/>
      <c r="B884" s="45"/>
      <c r="C884" s="45"/>
      <c r="D884" s="45"/>
      <c r="E884" s="45"/>
      <c r="F884" s="45"/>
      <c r="G884" s="45"/>
      <c r="H884" s="45"/>
      <c r="L884" s="16"/>
      <c r="M884" s="16"/>
    </row>
    <row r="885" spans="1:13">
      <c r="A885" s="45"/>
      <c r="B885" s="45"/>
      <c r="C885" s="45"/>
      <c r="D885" s="45"/>
      <c r="E885" s="45"/>
      <c r="F885" s="45"/>
      <c r="G885" s="45"/>
      <c r="H885" s="45"/>
      <c r="L885" s="16"/>
      <c r="M885" s="16"/>
    </row>
    <row r="886" spans="1:13">
      <c r="A886" s="45"/>
      <c r="B886" s="45"/>
      <c r="C886" s="45"/>
      <c r="D886" s="45"/>
      <c r="E886" s="45"/>
      <c r="F886" s="45"/>
      <c r="G886" s="45"/>
      <c r="H886" s="45"/>
      <c r="L886" s="16"/>
      <c r="M886" s="16"/>
    </row>
    <row r="887" spans="1:13">
      <c r="A887" s="45"/>
      <c r="B887" s="45"/>
      <c r="C887" s="45"/>
      <c r="D887" s="45"/>
      <c r="E887" s="45"/>
      <c r="F887" s="45"/>
      <c r="G887" s="45"/>
      <c r="H887" s="45"/>
      <c r="L887" s="16"/>
      <c r="M887" s="16"/>
    </row>
    <row r="888" spans="1:13">
      <c r="A888" s="45"/>
      <c r="B888" s="45"/>
      <c r="C888" s="45"/>
      <c r="D888" s="45"/>
      <c r="E888" s="45"/>
      <c r="F888" s="45"/>
      <c r="G888" s="45"/>
      <c r="H888" s="45"/>
      <c r="L888" s="16"/>
      <c r="M888" s="16"/>
    </row>
    <row r="889" spans="1:13">
      <c r="A889" s="45"/>
      <c r="B889" s="45"/>
      <c r="C889" s="45"/>
      <c r="D889" s="45"/>
      <c r="E889" s="45"/>
      <c r="F889" s="45"/>
      <c r="G889" s="45"/>
      <c r="H889" s="45"/>
      <c r="L889" s="16"/>
      <c r="M889" s="16"/>
    </row>
    <row r="890" spans="1:13">
      <c r="A890" s="45"/>
      <c r="B890" s="45"/>
      <c r="C890" s="45"/>
      <c r="D890" s="45"/>
      <c r="E890" s="45"/>
      <c r="F890" s="45"/>
      <c r="G890" s="45"/>
      <c r="H890" s="45"/>
      <c r="L890" s="16"/>
      <c r="M890" s="16"/>
    </row>
    <row r="891" spans="1:13">
      <c r="A891" s="45"/>
      <c r="B891" s="45"/>
      <c r="C891" s="45"/>
      <c r="D891" s="45"/>
      <c r="E891" s="45"/>
      <c r="F891" s="45"/>
      <c r="G891" s="45"/>
      <c r="H891" s="45"/>
      <c r="L891" s="16"/>
      <c r="M891" s="16"/>
    </row>
    <row r="892" spans="1:13">
      <c r="A892" s="45"/>
      <c r="B892" s="45"/>
      <c r="C892" s="45"/>
      <c r="D892" s="45"/>
      <c r="E892" s="45"/>
      <c r="F892" s="45"/>
      <c r="G892" s="45"/>
      <c r="H892" s="45"/>
      <c r="L892" s="16"/>
      <c r="M892" s="16"/>
    </row>
    <row r="893" spans="1:13">
      <c r="A893" s="45"/>
      <c r="B893" s="45"/>
      <c r="C893" s="45"/>
      <c r="D893" s="45"/>
      <c r="E893" s="45"/>
      <c r="F893" s="45"/>
      <c r="G893" s="45"/>
      <c r="H893" s="45"/>
      <c r="L893" s="16"/>
      <c r="M893" s="16"/>
    </row>
    <row r="894" spans="1:13">
      <c r="A894" s="45"/>
      <c r="B894" s="45"/>
      <c r="C894" s="45"/>
      <c r="D894" s="45"/>
      <c r="E894" s="45"/>
      <c r="F894" s="45"/>
      <c r="G894" s="45"/>
      <c r="H894" s="45"/>
      <c r="L894" s="16"/>
      <c r="M894" s="16"/>
    </row>
    <row r="895" spans="1:13">
      <c r="A895" s="45"/>
      <c r="B895" s="45"/>
      <c r="C895" s="45"/>
      <c r="D895" s="45"/>
      <c r="E895" s="45"/>
      <c r="F895" s="45"/>
      <c r="G895" s="45"/>
      <c r="H895" s="45"/>
      <c r="L895" s="16"/>
      <c r="M895" s="16"/>
    </row>
    <row r="896" spans="1:13">
      <c r="A896" s="45"/>
      <c r="B896" s="45"/>
      <c r="C896" s="45"/>
      <c r="D896" s="45"/>
      <c r="E896" s="45"/>
      <c r="F896" s="45"/>
      <c r="G896" s="45"/>
      <c r="H896" s="45"/>
      <c r="L896" s="16"/>
      <c r="M896" s="16"/>
    </row>
    <row r="897" spans="1:13">
      <c r="A897" s="45"/>
      <c r="B897" s="45"/>
      <c r="C897" s="45"/>
      <c r="D897" s="45"/>
      <c r="E897" s="45"/>
      <c r="F897" s="45"/>
      <c r="G897" s="45"/>
      <c r="H897" s="45"/>
      <c r="L897" s="16"/>
      <c r="M897" s="16"/>
    </row>
    <row r="898" spans="1:13">
      <c r="A898" s="45"/>
      <c r="B898" s="45"/>
      <c r="C898" s="45"/>
      <c r="D898" s="45"/>
      <c r="E898" s="45"/>
      <c r="F898" s="45"/>
      <c r="G898" s="45"/>
      <c r="H898" s="45"/>
      <c r="L898" s="16"/>
      <c r="M898" s="16"/>
    </row>
    <row r="899" spans="1:13">
      <c r="A899" s="45"/>
      <c r="B899" s="45"/>
      <c r="C899" s="45"/>
      <c r="D899" s="45"/>
      <c r="E899" s="45"/>
      <c r="F899" s="45"/>
      <c r="G899" s="45"/>
      <c r="H899" s="45"/>
      <c r="L899" s="16"/>
      <c r="M899" s="16"/>
    </row>
    <row r="900" spans="1:13">
      <c r="A900" s="45"/>
      <c r="B900" s="45"/>
      <c r="C900" s="45"/>
      <c r="D900" s="45"/>
      <c r="E900" s="45"/>
      <c r="F900" s="45"/>
      <c r="G900" s="45"/>
      <c r="H900" s="45"/>
      <c r="L900" s="16"/>
      <c r="M900" s="16"/>
    </row>
    <row r="901" spans="1:13">
      <c r="A901" s="45"/>
      <c r="B901" s="45"/>
      <c r="C901" s="45"/>
      <c r="D901" s="45"/>
      <c r="E901" s="45"/>
      <c r="F901" s="45"/>
      <c r="G901" s="45"/>
      <c r="H901" s="45"/>
      <c r="L901" s="16"/>
      <c r="M901" s="16"/>
    </row>
    <row r="902" spans="1:13">
      <c r="A902" s="45"/>
      <c r="B902" s="45"/>
      <c r="C902" s="45"/>
      <c r="D902" s="45"/>
      <c r="E902" s="45"/>
      <c r="F902" s="45"/>
      <c r="G902" s="45"/>
      <c r="H902" s="45"/>
      <c r="L902" s="16"/>
      <c r="M902" s="16"/>
    </row>
    <row r="903" spans="1:13">
      <c r="A903" s="45"/>
      <c r="B903" s="45"/>
      <c r="C903" s="45"/>
      <c r="D903" s="45"/>
      <c r="E903" s="45"/>
      <c r="F903" s="45"/>
      <c r="G903" s="45"/>
      <c r="H903" s="45"/>
      <c r="L903" s="16"/>
      <c r="M903" s="16"/>
    </row>
    <row r="904" spans="1:13">
      <c r="A904" s="45"/>
      <c r="B904" s="45"/>
      <c r="C904" s="45"/>
      <c r="D904" s="45"/>
      <c r="E904" s="45"/>
      <c r="F904" s="45"/>
      <c r="G904" s="45"/>
      <c r="H904" s="45"/>
      <c r="L904" s="16"/>
      <c r="M904" s="16"/>
    </row>
    <row r="905" spans="1:13">
      <c r="A905" s="45"/>
      <c r="B905" s="45"/>
      <c r="C905" s="45"/>
      <c r="D905" s="45"/>
      <c r="E905" s="45"/>
      <c r="F905" s="45"/>
      <c r="G905" s="45"/>
      <c r="H905" s="45"/>
      <c r="L905" s="16"/>
      <c r="M905" s="16"/>
    </row>
    <row r="906" spans="1:13">
      <c r="A906" s="45"/>
      <c r="B906" s="45"/>
      <c r="C906" s="45"/>
      <c r="D906" s="45"/>
      <c r="E906" s="45"/>
      <c r="F906" s="45"/>
      <c r="G906" s="45"/>
      <c r="H906" s="45"/>
      <c r="L906" s="16"/>
      <c r="M906" s="16"/>
    </row>
    <row r="907" spans="1:13">
      <c r="A907" s="45"/>
      <c r="B907" s="45"/>
      <c r="C907" s="45"/>
      <c r="D907" s="45"/>
      <c r="E907" s="45"/>
      <c r="F907" s="45"/>
      <c r="G907" s="45"/>
      <c r="H907" s="45"/>
      <c r="L907" s="16"/>
      <c r="M907" s="16"/>
    </row>
    <row r="908" spans="1:13">
      <c r="A908" s="45"/>
      <c r="B908" s="45"/>
      <c r="C908" s="45"/>
      <c r="D908" s="45"/>
      <c r="E908" s="45"/>
      <c r="F908" s="45"/>
      <c r="G908" s="45"/>
      <c r="H908" s="45"/>
      <c r="L908" s="16"/>
      <c r="M908" s="16"/>
    </row>
    <row r="909" spans="1:13">
      <c r="A909" s="45"/>
      <c r="B909" s="45"/>
      <c r="C909" s="45"/>
      <c r="D909" s="45"/>
      <c r="E909" s="45"/>
      <c r="F909" s="45"/>
      <c r="G909" s="45"/>
      <c r="H909" s="45"/>
      <c r="L909" s="16"/>
      <c r="M909" s="16"/>
    </row>
    <row r="910" spans="1:13">
      <c r="A910" s="45"/>
      <c r="B910" s="45"/>
      <c r="C910" s="45"/>
      <c r="D910" s="45"/>
      <c r="E910" s="45"/>
      <c r="F910" s="45"/>
      <c r="G910" s="45"/>
      <c r="H910" s="45"/>
      <c r="L910" s="16"/>
      <c r="M910" s="16"/>
    </row>
    <row r="911" spans="1:13">
      <c r="A911" s="45"/>
      <c r="B911" s="45"/>
      <c r="C911" s="45"/>
      <c r="D911" s="45"/>
      <c r="E911" s="45"/>
      <c r="F911" s="45"/>
      <c r="G911" s="45"/>
      <c r="H911" s="45"/>
      <c r="L911" s="16"/>
      <c r="M911" s="16"/>
    </row>
    <row r="912" spans="1:13">
      <c r="A912" s="45"/>
      <c r="B912" s="45"/>
      <c r="C912" s="45"/>
      <c r="D912" s="45"/>
      <c r="E912" s="45"/>
      <c r="F912" s="45"/>
      <c r="G912" s="45"/>
      <c r="H912" s="45"/>
      <c r="L912" s="16"/>
      <c r="M912" s="16"/>
    </row>
    <row r="913" spans="1:13">
      <c r="A913" s="45"/>
      <c r="B913" s="45"/>
      <c r="C913" s="45"/>
      <c r="D913" s="45"/>
      <c r="E913" s="45"/>
      <c r="F913" s="45"/>
      <c r="G913" s="45"/>
      <c r="H913" s="45"/>
      <c r="L913" s="16"/>
      <c r="M913" s="16"/>
    </row>
    <row r="914" spans="1:13">
      <c r="A914" s="45"/>
      <c r="B914" s="45"/>
      <c r="C914" s="45"/>
      <c r="D914" s="45"/>
      <c r="E914" s="45"/>
      <c r="F914" s="45"/>
      <c r="G914" s="45"/>
      <c r="H914" s="45"/>
      <c r="L914" s="16"/>
      <c r="M914" s="16"/>
    </row>
    <row r="915" spans="1:13">
      <c r="A915" s="45"/>
      <c r="B915" s="45"/>
      <c r="C915" s="45"/>
      <c r="D915" s="45"/>
      <c r="E915" s="45"/>
      <c r="F915" s="45"/>
      <c r="G915" s="45"/>
      <c r="H915" s="45"/>
      <c r="L915" s="16"/>
      <c r="M915" s="16"/>
    </row>
    <row r="916" spans="1:13">
      <c r="A916" s="45"/>
      <c r="B916" s="45"/>
      <c r="C916" s="45"/>
      <c r="D916" s="45"/>
      <c r="E916" s="45"/>
      <c r="F916" s="45"/>
      <c r="G916" s="45"/>
      <c r="H916" s="45"/>
      <c r="L916" s="16"/>
      <c r="M916" s="16"/>
    </row>
    <row r="917" spans="1:13">
      <c r="A917" s="45"/>
      <c r="B917" s="45"/>
      <c r="C917" s="45"/>
      <c r="D917" s="45"/>
      <c r="E917" s="45"/>
      <c r="F917" s="45"/>
      <c r="G917" s="45"/>
      <c r="H917" s="45"/>
      <c r="L917" s="16"/>
      <c r="M917" s="16"/>
    </row>
    <row r="918" spans="1:13">
      <c r="A918" s="45"/>
      <c r="B918" s="45"/>
      <c r="C918" s="45"/>
      <c r="D918" s="45"/>
      <c r="E918" s="45"/>
      <c r="F918" s="45"/>
      <c r="G918" s="45"/>
      <c r="H918" s="45"/>
      <c r="L918" s="16"/>
      <c r="M918" s="16"/>
    </row>
    <row r="919" spans="1:13">
      <c r="A919" s="45"/>
      <c r="B919" s="45"/>
      <c r="C919" s="45"/>
      <c r="D919" s="45"/>
      <c r="E919" s="45"/>
      <c r="F919" s="45"/>
      <c r="G919" s="45"/>
      <c r="H919" s="45"/>
      <c r="L919" s="16"/>
      <c r="M919" s="16"/>
    </row>
    <row r="920" spans="1:13">
      <c r="A920" s="45"/>
      <c r="B920" s="45"/>
      <c r="C920" s="45"/>
      <c r="D920" s="45"/>
      <c r="E920" s="45"/>
      <c r="F920" s="45"/>
      <c r="G920" s="45"/>
      <c r="H920" s="45"/>
      <c r="L920" s="16"/>
      <c r="M920" s="16"/>
    </row>
    <row r="921" spans="1:13">
      <c r="A921" s="45"/>
      <c r="B921" s="45"/>
      <c r="C921" s="45"/>
      <c r="D921" s="45"/>
      <c r="E921" s="45"/>
      <c r="F921" s="45"/>
      <c r="G921" s="45"/>
      <c r="H921" s="45"/>
      <c r="L921" s="16"/>
      <c r="M921" s="16"/>
    </row>
    <row r="922" spans="1:13">
      <c r="A922" s="45"/>
      <c r="B922" s="45"/>
      <c r="C922" s="45"/>
      <c r="D922" s="45"/>
      <c r="E922" s="45"/>
      <c r="F922" s="45"/>
      <c r="G922" s="45"/>
      <c r="H922" s="45"/>
      <c r="L922" s="16"/>
      <c r="M922" s="16"/>
    </row>
    <row r="923" spans="1:13">
      <c r="A923" s="45"/>
      <c r="B923" s="45"/>
      <c r="C923" s="45"/>
      <c r="D923" s="45"/>
      <c r="E923" s="45"/>
      <c r="F923" s="45"/>
      <c r="G923" s="45"/>
      <c r="H923" s="45"/>
      <c r="L923" s="16"/>
      <c r="M923" s="16"/>
    </row>
    <row r="924" spans="1:13">
      <c r="A924" s="45"/>
      <c r="B924" s="45"/>
      <c r="C924" s="45"/>
      <c r="D924" s="45"/>
      <c r="E924" s="45"/>
      <c r="F924" s="45"/>
      <c r="G924" s="45"/>
      <c r="H924" s="45"/>
      <c r="L924" s="16"/>
      <c r="M924" s="16"/>
    </row>
    <row r="925" spans="1:13">
      <c r="A925" s="45"/>
      <c r="B925" s="45"/>
      <c r="C925" s="45"/>
      <c r="D925" s="45"/>
      <c r="E925" s="45"/>
      <c r="F925" s="45"/>
      <c r="G925" s="45"/>
      <c r="H925" s="45"/>
      <c r="L925" s="16"/>
      <c r="M925" s="16"/>
    </row>
    <row r="926" spans="1:13">
      <c r="A926" s="45"/>
      <c r="B926" s="45"/>
      <c r="C926" s="45"/>
      <c r="D926" s="45"/>
      <c r="E926" s="45"/>
      <c r="F926" s="45"/>
      <c r="G926" s="45"/>
      <c r="H926" s="45"/>
      <c r="L926" s="16"/>
      <c r="M926" s="16"/>
    </row>
    <row r="927" spans="1:13">
      <c r="A927" s="45"/>
      <c r="B927" s="45"/>
      <c r="C927" s="45"/>
      <c r="D927" s="45"/>
      <c r="E927" s="45"/>
      <c r="F927" s="45"/>
      <c r="G927" s="45"/>
      <c r="H927" s="45"/>
      <c r="L927" s="16"/>
      <c r="M927" s="16"/>
    </row>
    <row r="928" spans="1:13">
      <c r="A928" s="45"/>
      <c r="B928" s="45"/>
      <c r="C928" s="45"/>
      <c r="D928" s="45"/>
      <c r="E928" s="45"/>
      <c r="F928" s="45"/>
      <c r="G928" s="45"/>
      <c r="H928" s="45"/>
      <c r="L928" s="16"/>
      <c r="M928" s="16"/>
    </row>
    <row r="929" spans="1:13">
      <c r="A929" s="45"/>
      <c r="B929" s="45"/>
      <c r="C929" s="45"/>
      <c r="D929" s="45"/>
      <c r="E929" s="45"/>
      <c r="F929" s="45"/>
      <c r="G929" s="45"/>
      <c r="H929" s="45"/>
      <c r="L929" s="16"/>
      <c r="M929" s="16"/>
    </row>
    <row r="930" spans="1:13">
      <c r="A930" s="45"/>
      <c r="B930" s="45"/>
      <c r="C930" s="45"/>
      <c r="D930" s="45"/>
      <c r="E930" s="45"/>
      <c r="F930" s="45"/>
      <c r="G930" s="45"/>
      <c r="H930" s="45"/>
      <c r="L930" s="16"/>
      <c r="M930" s="16"/>
    </row>
    <row r="931" spans="1:13">
      <c r="A931" s="45"/>
      <c r="B931" s="45"/>
      <c r="C931" s="45"/>
      <c r="D931" s="45"/>
      <c r="E931" s="45"/>
      <c r="F931" s="45"/>
      <c r="G931" s="45"/>
      <c r="H931" s="45"/>
      <c r="L931" s="16"/>
      <c r="M931" s="16"/>
    </row>
    <row r="932" spans="1:13">
      <c r="A932" s="45"/>
      <c r="B932" s="45"/>
      <c r="C932" s="45"/>
      <c r="D932" s="45"/>
      <c r="E932" s="45"/>
      <c r="F932" s="45"/>
      <c r="G932" s="45"/>
      <c r="H932" s="45"/>
      <c r="L932" s="16"/>
      <c r="M932" s="16"/>
    </row>
    <row r="933" spans="1:13">
      <c r="A933" s="45"/>
      <c r="B933" s="45"/>
      <c r="C933" s="45"/>
      <c r="D933" s="45"/>
      <c r="E933" s="45"/>
      <c r="F933" s="45"/>
      <c r="G933" s="45"/>
      <c r="H933" s="45"/>
      <c r="L933" s="16"/>
      <c r="M933" s="16"/>
    </row>
    <row r="934" spans="1:13">
      <c r="A934" s="45"/>
      <c r="B934" s="45"/>
      <c r="C934" s="45"/>
      <c r="D934" s="45"/>
      <c r="E934" s="45"/>
      <c r="F934" s="45"/>
      <c r="G934" s="45"/>
      <c r="H934" s="45"/>
      <c r="L934" s="16"/>
      <c r="M934" s="16"/>
    </row>
    <row r="935" spans="1:13">
      <c r="A935" s="45"/>
      <c r="B935" s="45"/>
      <c r="C935" s="45"/>
      <c r="D935" s="45"/>
      <c r="E935" s="45"/>
      <c r="F935" s="45"/>
      <c r="G935" s="45"/>
      <c r="H935" s="45"/>
      <c r="L935" s="16"/>
      <c r="M935" s="16"/>
    </row>
    <row r="936" spans="1:13">
      <c r="A936" s="45"/>
      <c r="B936" s="45"/>
      <c r="C936" s="45"/>
      <c r="D936" s="45"/>
      <c r="E936" s="45"/>
      <c r="F936" s="45"/>
      <c r="G936" s="45"/>
      <c r="H936" s="45"/>
      <c r="L936" s="16"/>
      <c r="M936" s="16"/>
    </row>
    <row r="937" spans="1:13">
      <c r="A937" s="45"/>
      <c r="B937" s="45"/>
      <c r="C937" s="45"/>
      <c r="D937" s="45"/>
      <c r="E937" s="45"/>
      <c r="F937" s="45"/>
      <c r="G937" s="45"/>
      <c r="H937" s="45"/>
      <c r="L937" s="16"/>
      <c r="M937" s="16"/>
    </row>
    <row r="938" spans="1:13">
      <c r="A938" s="45"/>
      <c r="B938" s="45"/>
      <c r="C938" s="45"/>
      <c r="D938" s="45"/>
      <c r="E938" s="45"/>
      <c r="F938" s="45"/>
      <c r="G938" s="45"/>
      <c r="H938" s="45"/>
      <c r="L938" s="16"/>
      <c r="M938" s="16"/>
    </row>
    <row r="939" spans="1:13">
      <c r="A939" s="45"/>
      <c r="B939" s="45"/>
      <c r="C939" s="45"/>
      <c r="D939" s="45"/>
      <c r="E939" s="45"/>
      <c r="F939" s="45"/>
      <c r="G939" s="45"/>
      <c r="H939" s="45"/>
      <c r="L939" s="16"/>
      <c r="M939" s="16"/>
    </row>
    <row r="940" spans="1:13">
      <c r="A940" s="45"/>
      <c r="B940" s="45"/>
      <c r="C940" s="45"/>
      <c r="D940" s="45"/>
      <c r="E940" s="45"/>
      <c r="F940" s="45"/>
      <c r="G940" s="45"/>
      <c r="H940" s="45"/>
      <c r="L940" s="16"/>
      <c r="M940" s="16"/>
    </row>
    <row r="941" spans="1:13">
      <c r="A941" s="45"/>
      <c r="B941" s="45"/>
      <c r="C941" s="45"/>
      <c r="D941" s="45"/>
      <c r="E941" s="45"/>
      <c r="F941" s="45"/>
      <c r="G941" s="45"/>
      <c r="H941" s="45"/>
      <c r="L941" s="16"/>
      <c r="M941" s="16"/>
    </row>
    <row r="942" spans="1:13">
      <c r="A942" s="45"/>
      <c r="B942" s="45"/>
      <c r="C942" s="45"/>
      <c r="D942" s="45"/>
      <c r="E942" s="45"/>
      <c r="F942" s="45"/>
      <c r="G942" s="45"/>
      <c r="H942" s="45"/>
      <c r="L942" s="16"/>
      <c r="M942" s="16"/>
    </row>
    <row r="943" spans="1:13">
      <c r="A943" s="45"/>
      <c r="B943" s="45"/>
      <c r="C943" s="45"/>
      <c r="D943" s="45"/>
      <c r="E943" s="45"/>
      <c r="F943" s="45"/>
      <c r="G943" s="45"/>
      <c r="H943" s="45"/>
      <c r="L943" s="16"/>
      <c r="M943" s="16"/>
    </row>
    <row r="944" spans="1:13">
      <c r="A944" s="45"/>
      <c r="B944" s="45"/>
      <c r="C944" s="45"/>
      <c r="D944" s="45"/>
      <c r="E944" s="45"/>
      <c r="F944" s="45"/>
      <c r="G944" s="45"/>
      <c r="H944" s="45"/>
      <c r="L944" s="16"/>
      <c r="M944" s="16"/>
    </row>
    <row r="945" spans="1:13">
      <c r="A945" s="45"/>
      <c r="B945" s="45"/>
      <c r="C945" s="45"/>
      <c r="D945" s="45"/>
      <c r="E945" s="45"/>
      <c r="F945" s="45"/>
      <c r="G945" s="45"/>
      <c r="H945" s="45"/>
      <c r="L945" s="16"/>
      <c r="M945" s="16"/>
    </row>
    <row r="946" spans="1:13">
      <c r="A946" s="45"/>
      <c r="B946" s="45"/>
      <c r="C946" s="45"/>
      <c r="D946" s="45"/>
      <c r="E946" s="45"/>
      <c r="F946" s="45"/>
      <c r="G946" s="45"/>
      <c r="H946" s="45"/>
      <c r="L946" s="16"/>
      <c r="M946" s="16"/>
    </row>
    <row r="947" spans="1:13">
      <c r="A947" s="45"/>
      <c r="B947" s="45"/>
      <c r="C947" s="45"/>
      <c r="D947" s="45"/>
      <c r="E947" s="45"/>
      <c r="F947" s="45"/>
      <c r="G947" s="45"/>
      <c r="H947" s="45"/>
      <c r="L947" s="16"/>
      <c r="M947" s="16"/>
    </row>
    <row r="948" spans="1:13">
      <c r="A948" s="45"/>
      <c r="B948" s="45"/>
      <c r="C948" s="45"/>
      <c r="D948" s="45"/>
      <c r="E948" s="45"/>
      <c r="F948" s="45"/>
      <c r="G948" s="45"/>
      <c r="H948" s="45"/>
      <c r="L948" s="16"/>
      <c r="M948" s="16"/>
    </row>
    <row r="949" spans="1:13">
      <c r="A949" s="45"/>
      <c r="B949" s="45"/>
      <c r="C949" s="45"/>
      <c r="D949" s="45"/>
      <c r="E949" s="45"/>
      <c r="F949" s="45"/>
      <c r="G949" s="45"/>
      <c r="H949" s="45"/>
      <c r="L949" s="16"/>
      <c r="M949" s="16"/>
    </row>
    <row r="950" spans="1:13">
      <c r="A950" s="45"/>
      <c r="B950" s="45"/>
      <c r="C950" s="45"/>
      <c r="D950" s="45"/>
      <c r="E950" s="45"/>
      <c r="F950" s="45"/>
      <c r="G950" s="45"/>
      <c r="H950" s="45"/>
      <c r="L950" s="16"/>
      <c r="M950" s="16"/>
    </row>
    <row r="951" spans="1:13">
      <c r="A951" s="45"/>
      <c r="B951" s="45"/>
      <c r="C951" s="45"/>
      <c r="D951" s="45"/>
      <c r="E951" s="45"/>
      <c r="F951" s="45"/>
      <c r="G951" s="45"/>
      <c r="H951" s="45"/>
      <c r="L951" s="16"/>
      <c r="M951" s="16"/>
    </row>
    <row r="952" spans="1:13">
      <c r="A952" s="45"/>
      <c r="B952" s="45"/>
      <c r="C952" s="45"/>
      <c r="D952" s="45"/>
      <c r="E952" s="45"/>
      <c r="F952" s="45"/>
      <c r="G952" s="45"/>
      <c r="H952" s="45"/>
      <c r="L952" s="16"/>
      <c r="M952" s="16"/>
    </row>
    <row r="953" spans="1:13">
      <c r="A953" s="45"/>
      <c r="B953" s="45"/>
      <c r="C953" s="45"/>
      <c r="D953" s="45"/>
      <c r="E953" s="45"/>
      <c r="F953" s="45"/>
      <c r="G953" s="45"/>
      <c r="H953" s="45"/>
      <c r="L953" s="16"/>
      <c r="M953" s="16"/>
    </row>
    <row r="954" spans="1:13">
      <c r="A954" s="45"/>
      <c r="B954" s="45"/>
      <c r="C954" s="45"/>
      <c r="D954" s="45"/>
      <c r="E954" s="45"/>
      <c r="F954" s="45"/>
      <c r="G954" s="45"/>
      <c r="H954" s="45"/>
      <c r="L954" s="16"/>
      <c r="M954" s="16"/>
    </row>
    <row r="955" spans="1:13">
      <c r="A955" s="45"/>
      <c r="B955" s="45"/>
      <c r="C955" s="45"/>
      <c r="D955" s="45"/>
      <c r="E955" s="45"/>
      <c r="F955" s="45"/>
      <c r="G955" s="45"/>
      <c r="H955" s="45"/>
      <c r="L955" s="16"/>
      <c r="M955" s="16"/>
    </row>
    <row r="956" spans="1:13">
      <c r="A956" s="45"/>
      <c r="B956" s="45"/>
      <c r="C956" s="45"/>
      <c r="D956" s="45"/>
      <c r="E956" s="45"/>
      <c r="F956" s="45"/>
      <c r="G956" s="45"/>
      <c r="H956" s="45"/>
      <c r="L956" s="16"/>
      <c r="M956" s="16"/>
    </row>
    <row r="957" spans="1:13">
      <c r="A957" s="45"/>
      <c r="B957" s="45"/>
      <c r="C957" s="45"/>
      <c r="D957" s="45"/>
      <c r="E957" s="45"/>
      <c r="F957" s="45"/>
      <c r="G957" s="45"/>
      <c r="H957" s="45"/>
      <c r="L957" s="16"/>
      <c r="M957" s="16"/>
    </row>
    <row r="958" spans="1:13">
      <c r="A958" s="45"/>
      <c r="B958" s="45"/>
      <c r="C958" s="45"/>
      <c r="D958" s="45"/>
      <c r="E958" s="45"/>
      <c r="F958" s="45"/>
      <c r="G958" s="45"/>
      <c r="H958" s="45"/>
      <c r="L958" s="16"/>
      <c r="M958" s="16"/>
    </row>
    <row r="959" spans="1:13">
      <c r="A959" s="45"/>
      <c r="B959" s="45"/>
      <c r="C959" s="45"/>
      <c r="D959" s="45"/>
      <c r="E959" s="45"/>
      <c r="F959" s="45"/>
      <c r="G959" s="45"/>
      <c r="H959" s="45"/>
      <c r="L959" s="16"/>
      <c r="M959" s="16"/>
    </row>
    <row r="960" spans="1:13">
      <c r="A960" s="45"/>
      <c r="B960" s="45"/>
      <c r="C960" s="45"/>
      <c r="D960" s="45"/>
      <c r="E960" s="45"/>
      <c r="F960" s="45"/>
      <c r="G960" s="45"/>
      <c r="H960" s="45"/>
      <c r="L960" s="16"/>
      <c r="M960" s="16"/>
    </row>
    <row r="961" spans="1:13">
      <c r="A961" s="45"/>
      <c r="B961" s="45"/>
      <c r="C961" s="45"/>
      <c r="D961" s="45"/>
      <c r="E961" s="45"/>
      <c r="F961" s="45"/>
      <c r="G961" s="45"/>
      <c r="H961" s="45"/>
      <c r="L961" s="16"/>
      <c r="M961" s="16"/>
    </row>
    <row r="962" spans="1:13">
      <c r="A962" s="45"/>
      <c r="B962" s="45"/>
      <c r="C962" s="45"/>
      <c r="D962" s="45"/>
      <c r="E962" s="45"/>
      <c r="F962" s="45"/>
      <c r="G962" s="45"/>
      <c r="H962" s="45"/>
      <c r="L962" s="16"/>
      <c r="M962" s="16"/>
    </row>
    <row r="963" spans="1:13">
      <c r="A963" s="45"/>
      <c r="B963" s="45"/>
      <c r="C963" s="45"/>
      <c r="D963" s="45"/>
      <c r="E963" s="45"/>
      <c r="F963" s="45"/>
      <c r="G963" s="45"/>
      <c r="H963" s="45"/>
      <c r="L963" s="16"/>
      <c r="M963" s="16"/>
    </row>
    <row r="964" spans="1:13">
      <c r="A964" s="45"/>
      <c r="B964" s="45"/>
      <c r="C964" s="45"/>
      <c r="D964" s="45"/>
      <c r="E964" s="45"/>
      <c r="F964" s="45"/>
      <c r="G964" s="45"/>
      <c r="H964" s="45"/>
      <c r="L964" s="16"/>
      <c r="M964" s="16"/>
    </row>
    <row r="965" spans="1:13">
      <c r="A965" s="45"/>
      <c r="B965" s="45"/>
      <c r="C965" s="45"/>
      <c r="D965" s="45"/>
      <c r="E965" s="45"/>
      <c r="F965" s="45"/>
      <c r="G965" s="45"/>
      <c r="H965" s="45"/>
      <c r="L965" s="16"/>
      <c r="M965" s="16"/>
    </row>
    <row r="966" spans="1:13">
      <c r="A966" s="45"/>
      <c r="B966" s="45"/>
      <c r="C966" s="45"/>
      <c r="D966" s="45"/>
      <c r="E966" s="45"/>
      <c r="F966" s="45"/>
      <c r="G966" s="45"/>
      <c r="H966" s="45"/>
      <c r="L966" s="16"/>
      <c r="M966" s="16"/>
    </row>
    <row r="967" spans="1:13">
      <c r="A967" s="45"/>
      <c r="B967" s="45"/>
      <c r="C967" s="45"/>
      <c r="D967" s="45"/>
      <c r="E967" s="45"/>
      <c r="F967" s="45"/>
      <c r="G967" s="45"/>
      <c r="H967" s="45"/>
      <c r="L967" s="16"/>
      <c r="M967" s="16"/>
    </row>
    <row r="968" spans="1:13">
      <c r="A968" s="45"/>
      <c r="B968" s="45"/>
      <c r="C968" s="45"/>
      <c r="D968" s="45"/>
      <c r="E968" s="45"/>
      <c r="F968" s="45"/>
      <c r="G968" s="45"/>
      <c r="H968" s="45"/>
      <c r="L968" s="16"/>
      <c r="M968" s="16"/>
    </row>
    <row r="969" spans="1:13">
      <c r="A969" s="45"/>
      <c r="B969" s="45"/>
      <c r="C969" s="45"/>
      <c r="D969" s="45"/>
      <c r="E969" s="45"/>
      <c r="F969" s="45"/>
      <c r="G969" s="45"/>
      <c r="H969" s="45"/>
      <c r="L969" s="16"/>
      <c r="M969" s="16"/>
    </row>
    <row r="970" spans="1:13">
      <c r="A970" s="45"/>
      <c r="B970" s="45"/>
      <c r="C970" s="45"/>
      <c r="D970" s="45"/>
      <c r="E970" s="45"/>
      <c r="F970" s="45"/>
      <c r="G970" s="45"/>
      <c r="H970" s="45"/>
      <c r="L970" s="16"/>
      <c r="M970" s="16"/>
    </row>
    <row r="971" spans="1:13">
      <c r="A971" s="45"/>
      <c r="B971" s="45"/>
      <c r="C971" s="45"/>
      <c r="D971" s="45"/>
      <c r="E971" s="45"/>
      <c r="F971" s="45"/>
      <c r="G971" s="45"/>
      <c r="H971" s="45"/>
      <c r="L971" s="16"/>
      <c r="M971" s="16"/>
    </row>
    <row r="972" spans="1:13">
      <c r="A972" s="45"/>
      <c r="B972" s="45"/>
      <c r="C972" s="45"/>
      <c r="D972" s="45"/>
      <c r="E972" s="45"/>
      <c r="F972" s="45"/>
      <c r="G972" s="45"/>
      <c r="H972" s="45"/>
      <c r="L972" s="16"/>
      <c r="M972" s="16"/>
    </row>
    <row r="973" spans="1:13">
      <c r="A973" s="45"/>
      <c r="B973" s="45"/>
      <c r="C973" s="45"/>
      <c r="D973" s="45"/>
      <c r="E973" s="45"/>
      <c r="F973" s="45"/>
      <c r="G973" s="45"/>
      <c r="H973" s="45"/>
      <c r="L973" s="16"/>
      <c r="M973" s="16"/>
    </row>
    <row r="974" spans="1:13">
      <c r="A974" s="45"/>
      <c r="B974" s="45"/>
      <c r="C974" s="45"/>
      <c r="D974" s="45"/>
      <c r="E974" s="45"/>
      <c r="F974" s="45"/>
      <c r="G974" s="45"/>
      <c r="H974" s="45"/>
      <c r="L974" s="16"/>
      <c r="M974" s="16"/>
    </row>
    <row r="975" spans="1:13">
      <c r="A975" s="45"/>
      <c r="B975" s="45"/>
      <c r="C975" s="45"/>
      <c r="D975" s="45"/>
      <c r="E975" s="45"/>
      <c r="F975" s="45"/>
      <c r="G975" s="45"/>
      <c r="H975" s="45"/>
      <c r="L975" s="16"/>
      <c r="M975" s="16"/>
    </row>
    <row r="976" spans="1:13">
      <c r="A976" s="45"/>
      <c r="B976" s="45"/>
      <c r="C976" s="45"/>
      <c r="D976" s="45"/>
      <c r="E976" s="45"/>
      <c r="F976" s="45"/>
      <c r="G976" s="45"/>
      <c r="H976" s="45"/>
      <c r="L976" s="16"/>
      <c r="M976" s="16"/>
    </row>
    <row r="977" spans="1:13">
      <c r="A977" s="45"/>
      <c r="B977" s="45"/>
      <c r="C977" s="45"/>
      <c r="D977" s="45"/>
      <c r="E977" s="45"/>
      <c r="F977" s="45"/>
      <c r="G977" s="45"/>
      <c r="H977" s="45"/>
      <c r="L977" s="16"/>
      <c r="M977" s="16"/>
    </row>
    <row r="978" spans="1:13">
      <c r="A978" s="45"/>
      <c r="B978" s="45"/>
      <c r="C978" s="45"/>
      <c r="D978" s="45"/>
      <c r="E978" s="45"/>
      <c r="F978" s="45"/>
      <c r="G978" s="45"/>
      <c r="H978" s="45"/>
      <c r="L978" s="16"/>
      <c r="M978" s="16"/>
    </row>
    <row r="979" spans="1:13">
      <c r="A979" s="45"/>
      <c r="B979" s="45"/>
      <c r="C979" s="45"/>
      <c r="D979" s="45"/>
      <c r="E979" s="45"/>
      <c r="F979" s="45"/>
      <c r="G979" s="45"/>
      <c r="H979" s="45"/>
      <c r="L979" s="16"/>
      <c r="M979" s="16"/>
    </row>
    <row r="980" spans="1:13">
      <c r="A980" s="45"/>
      <c r="B980" s="45"/>
      <c r="C980" s="45"/>
      <c r="D980" s="45"/>
      <c r="E980" s="45"/>
      <c r="F980" s="45"/>
      <c r="G980" s="45"/>
      <c r="H980" s="45"/>
      <c r="L980" s="16"/>
      <c r="M980" s="16"/>
    </row>
    <row r="981" spans="1:13">
      <c r="A981" s="45"/>
      <c r="B981" s="45"/>
      <c r="C981" s="45"/>
      <c r="D981" s="45"/>
      <c r="E981" s="45"/>
      <c r="F981" s="45"/>
      <c r="G981" s="45"/>
      <c r="H981" s="45"/>
      <c r="L981" s="16"/>
      <c r="M981" s="16"/>
    </row>
    <row r="982" spans="1:13">
      <c r="A982" s="45"/>
      <c r="B982" s="45"/>
      <c r="C982" s="45"/>
      <c r="D982" s="45"/>
      <c r="E982" s="45"/>
      <c r="F982" s="45"/>
      <c r="G982" s="45"/>
      <c r="H982" s="45"/>
      <c r="L982" s="16"/>
      <c r="M982" s="16"/>
    </row>
    <row r="983" spans="1:13">
      <c r="A983" s="45"/>
      <c r="B983" s="45"/>
      <c r="C983" s="45"/>
      <c r="D983" s="45"/>
      <c r="E983" s="45"/>
      <c r="F983" s="45"/>
      <c r="G983" s="45"/>
      <c r="H983" s="45"/>
      <c r="L983" s="16"/>
      <c r="M983" s="16"/>
    </row>
    <row r="984" spans="1:13">
      <c r="A984" s="45"/>
      <c r="B984" s="45"/>
      <c r="C984" s="45"/>
      <c r="D984" s="45"/>
      <c r="E984" s="45"/>
      <c r="F984" s="45"/>
      <c r="G984" s="45"/>
      <c r="H984" s="45"/>
      <c r="L984" s="16"/>
      <c r="M984" s="16"/>
    </row>
    <row r="985" spans="1:13">
      <c r="A985" s="45"/>
      <c r="B985" s="45"/>
      <c r="C985" s="45"/>
      <c r="D985" s="45"/>
      <c r="E985" s="45"/>
      <c r="F985" s="45"/>
      <c r="G985" s="45"/>
      <c r="H985" s="45"/>
      <c r="L985" s="16"/>
      <c r="M985" s="16"/>
    </row>
    <row r="986" spans="1:13">
      <c r="A986" s="45"/>
      <c r="B986" s="45"/>
      <c r="C986" s="45"/>
      <c r="D986" s="45"/>
      <c r="E986" s="45"/>
      <c r="F986" s="45"/>
      <c r="G986" s="45"/>
      <c r="H986" s="45"/>
      <c r="L986" s="16"/>
      <c r="M986" s="16"/>
    </row>
    <row r="987" spans="1:13">
      <c r="A987" s="45"/>
      <c r="B987" s="45"/>
      <c r="C987" s="45"/>
      <c r="D987" s="45"/>
      <c r="E987" s="45"/>
      <c r="F987" s="45"/>
      <c r="G987" s="45"/>
      <c r="H987" s="45"/>
      <c r="L987" s="16"/>
      <c r="M987" s="16"/>
    </row>
    <row r="988" spans="1:13">
      <c r="A988" s="45"/>
      <c r="B988" s="45"/>
      <c r="C988" s="45"/>
      <c r="D988" s="45"/>
      <c r="E988" s="45"/>
      <c r="F988" s="45"/>
      <c r="G988" s="45"/>
      <c r="H988" s="45"/>
      <c r="L988" s="16"/>
      <c r="M988" s="16"/>
    </row>
    <row r="989" spans="1:13">
      <c r="A989" s="45"/>
      <c r="B989" s="45"/>
      <c r="C989" s="45"/>
      <c r="D989" s="45"/>
      <c r="E989" s="45"/>
      <c r="F989" s="45"/>
      <c r="G989" s="45"/>
      <c r="H989" s="45"/>
      <c r="L989" s="16"/>
      <c r="M989" s="16"/>
    </row>
    <row r="990" spans="1:13">
      <c r="A990" s="45"/>
      <c r="B990" s="45"/>
      <c r="C990" s="45"/>
      <c r="D990" s="45"/>
      <c r="E990" s="45"/>
      <c r="F990" s="45"/>
      <c r="G990" s="45"/>
      <c r="H990" s="45"/>
      <c r="L990" s="16"/>
      <c r="M990" s="16"/>
    </row>
    <row r="991" spans="1:13">
      <c r="A991" s="45"/>
      <c r="B991" s="45"/>
      <c r="C991" s="45"/>
      <c r="D991" s="45"/>
      <c r="E991" s="45"/>
      <c r="F991" s="45"/>
      <c r="G991" s="45"/>
      <c r="H991" s="45"/>
      <c r="L991" s="16"/>
      <c r="M991" s="16"/>
    </row>
    <row r="992" spans="1:13">
      <c r="A992" s="45"/>
      <c r="B992" s="45"/>
      <c r="C992" s="45"/>
      <c r="D992" s="45"/>
      <c r="E992" s="45"/>
      <c r="F992" s="45"/>
      <c r="G992" s="45"/>
      <c r="H992" s="45"/>
      <c r="L992" s="16"/>
      <c r="M992" s="16"/>
    </row>
    <row r="993" spans="1:13">
      <c r="A993" s="45"/>
      <c r="B993" s="45"/>
      <c r="C993" s="45"/>
      <c r="D993" s="45"/>
      <c r="E993" s="45"/>
      <c r="F993" s="45"/>
      <c r="G993" s="45"/>
      <c r="H993" s="45"/>
      <c r="L993" s="16"/>
      <c r="M993" s="16"/>
    </row>
    <row r="994" spans="1:13">
      <c r="A994" s="45"/>
      <c r="B994" s="45"/>
      <c r="C994" s="45"/>
      <c r="D994" s="45"/>
      <c r="E994" s="45"/>
      <c r="F994" s="45"/>
      <c r="G994" s="45"/>
      <c r="H994" s="45"/>
      <c r="L994" s="16"/>
      <c r="M994" s="16"/>
    </row>
    <row r="995" spans="1:13">
      <c r="A995" s="45"/>
      <c r="B995" s="45"/>
      <c r="C995" s="45"/>
      <c r="D995" s="45"/>
      <c r="E995" s="45"/>
      <c r="F995" s="45"/>
      <c r="G995" s="45"/>
      <c r="H995" s="45"/>
      <c r="L995" s="16"/>
      <c r="M995" s="16"/>
    </row>
    <row r="996" spans="1:13">
      <c r="A996" s="45"/>
      <c r="B996" s="45"/>
      <c r="C996" s="45"/>
      <c r="D996" s="45"/>
      <c r="E996" s="45"/>
      <c r="F996" s="45"/>
      <c r="G996" s="45"/>
      <c r="H996" s="45"/>
      <c r="L996" s="16"/>
      <c r="M996" s="16"/>
    </row>
    <row r="997" spans="1:13">
      <c r="A997" s="45"/>
      <c r="B997" s="45"/>
      <c r="C997" s="45"/>
      <c r="D997" s="45"/>
      <c r="E997" s="45"/>
      <c r="F997" s="45"/>
      <c r="G997" s="45"/>
      <c r="H997" s="45"/>
      <c r="L997" s="16"/>
      <c r="M997" s="16"/>
    </row>
    <row r="998" spans="1:13">
      <c r="A998" s="45"/>
      <c r="B998" s="45"/>
      <c r="C998" s="45"/>
      <c r="D998" s="45"/>
      <c r="E998" s="45"/>
      <c r="F998" s="45"/>
      <c r="G998" s="45"/>
      <c r="H998" s="45"/>
      <c r="L998" s="16"/>
      <c r="M998" s="16"/>
    </row>
    <row r="999" spans="1:13">
      <c r="A999" s="45"/>
      <c r="B999" s="45"/>
      <c r="C999" s="45"/>
      <c r="D999" s="45"/>
      <c r="E999" s="45"/>
      <c r="F999" s="45"/>
      <c r="G999" s="45"/>
      <c r="H999" s="45"/>
      <c r="L999" s="16"/>
      <c r="M999" s="16"/>
    </row>
    <row r="1000" spans="1:13">
      <c r="A1000" s="45"/>
      <c r="B1000" s="45"/>
      <c r="C1000" s="45"/>
      <c r="D1000" s="45"/>
      <c r="E1000" s="45"/>
      <c r="F1000" s="45"/>
      <c r="G1000" s="45"/>
      <c r="H1000" s="45"/>
      <c r="L1000" s="16"/>
      <c r="M1000" s="16"/>
    </row>
    <row r="1001" spans="1:13">
      <c r="A1001" s="45"/>
      <c r="B1001" s="45"/>
      <c r="C1001" s="45"/>
      <c r="D1001" s="45"/>
      <c r="E1001" s="45"/>
      <c r="F1001" s="45"/>
      <c r="G1001" s="45"/>
      <c r="H1001" s="45"/>
      <c r="L1001" s="16"/>
      <c r="M1001" s="16"/>
    </row>
    <row r="1002" spans="1:13">
      <c r="A1002" s="45"/>
      <c r="B1002" s="45"/>
      <c r="C1002" s="45"/>
      <c r="D1002" s="45"/>
      <c r="E1002" s="45"/>
      <c r="F1002" s="45"/>
      <c r="G1002" s="45"/>
      <c r="H1002" s="45"/>
      <c r="L1002" s="16"/>
      <c r="M1002" s="16"/>
    </row>
    <row r="1003" spans="1:13">
      <c r="A1003" s="45"/>
      <c r="B1003" s="45"/>
      <c r="C1003" s="45"/>
      <c r="D1003" s="45"/>
      <c r="E1003" s="45"/>
      <c r="F1003" s="45"/>
      <c r="G1003" s="45"/>
      <c r="H1003" s="45"/>
      <c r="L1003" s="16"/>
      <c r="M1003" s="16"/>
    </row>
    <row r="1004" spans="1:13">
      <c r="A1004" s="45"/>
      <c r="B1004" s="45"/>
      <c r="C1004" s="45"/>
      <c r="D1004" s="45"/>
      <c r="E1004" s="45"/>
      <c r="F1004" s="45"/>
      <c r="G1004" s="45"/>
      <c r="H1004" s="45"/>
      <c r="L1004" s="16"/>
      <c r="M1004" s="16"/>
    </row>
    <row r="1005" spans="1:13">
      <c r="A1005" s="45"/>
      <c r="B1005" s="45"/>
      <c r="C1005" s="45"/>
      <c r="D1005" s="45"/>
      <c r="E1005" s="45"/>
      <c r="F1005" s="45"/>
      <c r="G1005" s="45"/>
      <c r="H1005" s="45"/>
      <c r="L1005" s="16"/>
      <c r="M1005" s="16"/>
    </row>
    <row r="1006" spans="1:13">
      <c r="A1006" s="45"/>
      <c r="B1006" s="45"/>
      <c r="C1006" s="45"/>
      <c r="D1006" s="45"/>
      <c r="E1006" s="45"/>
      <c r="F1006" s="45"/>
      <c r="G1006" s="45"/>
      <c r="H1006" s="45"/>
      <c r="L1006" s="16"/>
      <c r="M1006" s="16"/>
    </row>
    <row r="1007" spans="1:13">
      <c r="A1007" s="45"/>
      <c r="B1007" s="45"/>
      <c r="C1007" s="45"/>
      <c r="D1007" s="45"/>
      <c r="E1007" s="45"/>
      <c r="F1007" s="45"/>
      <c r="G1007" s="45"/>
      <c r="H1007" s="45"/>
      <c r="L1007" s="16"/>
      <c r="M1007" s="16"/>
    </row>
    <row r="1008" spans="1:13">
      <c r="A1008" s="45"/>
      <c r="B1008" s="45"/>
      <c r="C1008" s="45"/>
      <c r="D1008" s="45"/>
      <c r="E1008" s="45"/>
      <c r="F1008" s="45"/>
      <c r="G1008" s="45"/>
      <c r="H1008" s="45"/>
      <c r="L1008" s="16"/>
      <c r="M100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2"/>
  <sheetViews>
    <sheetView tabSelected="1" topLeftCell="A19" workbookViewId="0">
      <selection activeCell="M32" sqref="M32"/>
    </sheetView>
  </sheetViews>
  <sheetFormatPr defaultColWidth="12.6640625" defaultRowHeight="15.75" customHeight="1"/>
  <cols>
    <col min="1" max="1" width="12.109375" customWidth="1"/>
    <col min="2" max="2" width="3.6640625" customWidth="1"/>
    <col min="3" max="4" width="17.44140625" customWidth="1"/>
    <col min="5" max="6" width="9.21875" customWidth="1"/>
    <col min="7" max="7" width="22" customWidth="1"/>
    <col min="8" max="8" width="8.77734375" customWidth="1"/>
    <col min="9" max="9" width="7.21875" customWidth="1"/>
    <col min="10" max="10" width="9.6640625" customWidth="1"/>
    <col min="11" max="11" width="38.44140625" customWidth="1"/>
    <col min="12" max="12" width="22.33203125" customWidth="1"/>
  </cols>
  <sheetData>
    <row r="1" spans="1:28">
      <c r="A1" s="5"/>
      <c r="B1" s="8"/>
      <c r="C1" s="8" t="s">
        <v>26</v>
      </c>
      <c r="D1" s="8" t="s">
        <v>28</v>
      </c>
      <c r="E1" s="8" t="s">
        <v>30</v>
      </c>
      <c r="F1" s="11" t="s">
        <v>32</v>
      </c>
      <c r="G1" s="8" t="s">
        <v>34</v>
      </c>
      <c r="H1" s="15" t="s">
        <v>35</v>
      </c>
      <c r="I1" s="15" t="s">
        <v>36</v>
      </c>
      <c r="J1" s="15" t="s">
        <v>37</v>
      </c>
      <c r="K1" s="8" t="s">
        <v>38</v>
      </c>
      <c r="L1" s="8" t="s">
        <v>40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>
      <c r="A2" s="128" t="s">
        <v>52</v>
      </c>
      <c r="B2" s="23" t="s">
        <v>70</v>
      </c>
      <c r="C2" s="24" t="s">
        <v>83</v>
      </c>
      <c r="D2" s="24" t="s">
        <v>91</v>
      </c>
      <c r="E2" s="24" t="s">
        <v>94</v>
      </c>
      <c r="F2" s="26">
        <v>1430</v>
      </c>
      <c r="G2" s="24" t="s">
        <v>105</v>
      </c>
      <c r="H2" s="28" t="s">
        <v>111</v>
      </c>
      <c r="I2" s="28" t="s">
        <v>111</v>
      </c>
      <c r="J2" s="28" t="s">
        <v>118</v>
      </c>
      <c r="K2" s="29" t="s">
        <v>123</v>
      </c>
      <c r="L2" s="129"/>
    </row>
    <row r="3" spans="1:28">
      <c r="A3" s="112"/>
      <c r="B3" s="23" t="s">
        <v>152</v>
      </c>
      <c r="C3" s="24" t="s">
        <v>156</v>
      </c>
      <c r="D3" s="24" t="s">
        <v>158</v>
      </c>
      <c r="E3" s="24"/>
      <c r="F3" s="26"/>
      <c r="G3" s="24" t="s">
        <v>181</v>
      </c>
      <c r="H3" s="28"/>
      <c r="I3" s="28"/>
      <c r="J3" s="28"/>
      <c r="K3" s="29"/>
      <c r="L3" s="111"/>
    </row>
    <row r="4" spans="1:28">
      <c r="A4" s="112"/>
      <c r="B4" s="127"/>
      <c r="C4" s="109"/>
      <c r="D4" s="109"/>
      <c r="E4" s="109"/>
      <c r="F4" s="109"/>
      <c r="G4" s="109"/>
      <c r="H4" s="109"/>
      <c r="I4" s="109"/>
      <c r="J4" s="109"/>
      <c r="K4" s="109"/>
      <c r="L4" s="108"/>
    </row>
    <row r="5" spans="1:28">
      <c r="A5" s="112"/>
      <c r="B5" s="23" t="s">
        <v>70</v>
      </c>
      <c r="C5" s="24" t="s">
        <v>42</v>
      </c>
      <c r="D5" s="24" t="s">
        <v>196</v>
      </c>
      <c r="E5" s="24" t="s">
        <v>94</v>
      </c>
      <c r="F5" s="26">
        <v>760</v>
      </c>
      <c r="G5" s="24" t="s">
        <v>197</v>
      </c>
      <c r="H5" s="28" t="s">
        <v>198</v>
      </c>
      <c r="I5" s="28" t="s">
        <v>198</v>
      </c>
      <c r="J5" s="28" t="s">
        <v>198</v>
      </c>
      <c r="K5" s="24" t="s">
        <v>200</v>
      </c>
      <c r="L5" s="129"/>
    </row>
    <row r="6" spans="1:28">
      <c r="A6" s="111"/>
      <c r="B6" s="23" t="s">
        <v>152</v>
      </c>
      <c r="C6" s="24" t="s">
        <v>208</v>
      </c>
      <c r="D6" s="24"/>
      <c r="E6" s="24"/>
      <c r="F6" s="26"/>
      <c r="G6" s="24" t="s">
        <v>211</v>
      </c>
      <c r="H6" s="28"/>
      <c r="I6" s="28"/>
      <c r="J6" s="28"/>
      <c r="K6" s="24" t="s">
        <v>214</v>
      </c>
      <c r="L6" s="111"/>
    </row>
    <row r="7" spans="1:28">
      <c r="A7" s="49"/>
      <c r="B7" s="130"/>
      <c r="C7" s="118"/>
      <c r="D7" s="118"/>
      <c r="E7" s="118"/>
      <c r="F7" s="118"/>
      <c r="G7" s="118"/>
      <c r="H7" s="118"/>
      <c r="I7" s="118"/>
      <c r="J7" s="118"/>
      <c r="K7" s="118"/>
      <c r="L7" s="118"/>
    </row>
    <row r="8" spans="1:28">
      <c r="A8" s="128" t="s">
        <v>225</v>
      </c>
      <c r="B8" s="23" t="s">
        <v>70</v>
      </c>
      <c r="C8" s="24" t="s">
        <v>15</v>
      </c>
      <c r="D8" s="24" t="s">
        <v>233</v>
      </c>
      <c r="E8" s="24" t="s">
        <v>234</v>
      </c>
      <c r="F8" s="26">
        <v>1340</v>
      </c>
      <c r="G8" s="24" t="s">
        <v>236</v>
      </c>
      <c r="H8" s="52">
        <v>0.2590277777777778</v>
      </c>
      <c r="I8" s="52">
        <v>0.31666666666666665</v>
      </c>
      <c r="J8" s="28" t="s">
        <v>241</v>
      </c>
      <c r="K8" s="29" t="s">
        <v>242</v>
      </c>
      <c r="L8" s="131" t="s">
        <v>244</v>
      </c>
    </row>
    <row r="9" spans="1:28">
      <c r="A9" s="112"/>
      <c r="B9" s="23" t="s">
        <v>152</v>
      </c>
      <c r="C9" s="24" t="s">
        <v>59</v>
      </c>
      <c r="D9" s="24" t="s">
        <v>247</v>
      </c>
      <c r="E9" s="24"/>
      <c r="F9" s="26"/>
      <c r="G9" s="24"/>
      <c r="H9" s="28">
        <v>6.43</v>
      </c>
      <c r="I9" s="52">
        <v>0.33958333333333335</v>
      </c>
      <c r="J9" s="28" t="s">
        <v>241</v>
      </c>
      <c r="K9" s="29" t="s">
        <v>248</v>
      </c>
      <c r="L9" s="112"/>
    </row>
    <row r="10" spans="1:28">
      <c r="A10" s="112"/>
      <c r="B10" s="127"/>
      <c r="C10" s="109"/>
      <c r="D10" s="109"/>
      <c r="E10" s="109"/>
      <c r="F10" s="109"/>
      <c r="G10" s="109"/>
      <c r="H10" s="109"/>
      <c r="I10" s="109"/>
      <c r="J10" s="109"/>
      <c r="K10" s="108"/>
      <c r="L10" s="112"/>
    </row>
    <row r="11" spans="1:28">
      <c r="A11" s="112"/>
      <c r="B11" s="23" t="s">
        <v>70</v>
      </c>
      <c r="C11" s="24" t="s">
        <v>250</v>
      </c>
      <c r="D11" s="24" t="s">
        <v>251</v>
      </c>
      <c r="E11" s="24" t="s">
        <v>252</v>
      </c>
      <c r="F11" s="26">
        <v>800</v>
      </c>
      <c r="G11" s="24" t="s">
        <v>253</v>
      </c>
      <c r="H11" s="52">
        <v>0.32083333333333336</v>
      </c>
      <c r="I11" s="52">
        <v>0.34027777777777779</v>
      </c>
      <c r="J11" s="28" t="s">
        <v>255</v>
      </c>
      <c r="K11" s="29" t="s">
        <v>256</v>
      </c>
      <c r="L11" s="112"/>
    </row>
    <row r="12" spans="1:28">
      <c r="A12" s="112"/>
      <c r="B12" s="23" t="s">
        <v>152</v>
      </c>
      <c r="C12" s="24" t="s">
        <v>257</v>
      </c>
      <c r="D12" s="24" t="s">
        <v>258</v>
      </c>
      <c r="E12" s="24"/>
      <c r="F12" s="26"/>
      <c r="G12" s="24"/>
      <c r="H12" s="52">
        <v>0.38194444444444442</v>
      </c>
      <c r="I12" s="52">
        <v>0.40486111111111112</v>
      </c>
      <c r="J12" s="28" t="s">
        <v>255</v>
      </c>
      <c r="K12" s="29" t="s">
        <v>259</v>
      </c>
      <c r="L12" s="111"/>
    </row>
    <row r="13" spans="1:28">
      <c r="A13" s="112"/>
      <c r="B13" s="127"/>
      <c r="C13" s="109"/>
      <c r="D13" s="109"/>
      <c r="E13" s="109"/>
      <c r="F13" s="109"/>
      <c r="G13" s="109"/>
      <c r="H13" s="109"/>
      <c r="I13" s="109"/>
      <c r="J13" s="109"/>
      <c r="K13" s="109"/>
      <c r="L13" s="108"/>
    </row>
    <row r="14" spans="1:28">
      <c r="A14" s="112"/>
      <c r="B14" s="23" t="s">
        <v>70</v>
      </c>
      <c r="C14" s="24" t="s">
        <v>261</v>
      </c>
      <c r="D14" s="24" t="s">
        <v>74</v>
      </c>
      <c r="E14" s="24" t="s">
        <v>234</v>
      </c>
      <c r="F14" s="26">
        <v>1540</v>
      </c>
      <c r="G14" s="24" t="s">
        <v>236</v>
      </c>
      <c r="H14" s="52">
        <v>0.6069444444444444</v>
      </c>
      <c r="I14" s="52">
        <v>0.7</v>
      </c>
      <c r="J14" s="28" t="s">
        <v>263</v>
      </c>
      <c r="K14" s="29" t="s">
        <v>264</v>
      </c>
      <c r="L14" s="132" t="s">
        <v>265</v>
      </c>
    </row>
    <row r="15" spans="1:28">
      <c r="A15" s="111"/>
      <c r="B15" s="23" t="s">
        <v>152</v>
      </c>
      <c r="C15" s="24" t="s">
        <v>267</v>
      </c>
      <c r="D15" s="24" t="s">
        <v>85</v>
      </c>
      <c r="E15" s="24"/>
      <c r="F15" s="26"/>
      <c r="G15" s="24"/>
      <c r="H15" s="52">
        <v>0.71944444444444444</v>
      </c>
      <c r="I15" s="52">
        <v>0.7993055555555556</v>
      </c>
      <c r="J15" s="28" t="s">
        <v>263</v>
      </c>
      <c r="K15" s="29" t="s">
        <v>268</v>
      </c>
      <c r="L15" s="111"/>
    </row>
    <row r="16" spans="1:28">
      <c r="A16" s="49"/>
      <c r="B16" s="50"/>
      <c r="C16" s="18"/>
      <c r="D16" s="18"/>
      <c r="E16" s="18"/>
      <c r="F16" s="58"/>
      <c r="G16" s="18"/>
      <c r="H16" s="34"/>
      <c r="I16" s="34"/>
      <c r="J16" s="34"/>
    </row>
    <row r="17" spans="1:12">
      <c r="A17" s="128" t="s">
        <v>269</v>
      </c>
      <c r="B17" s="23" t="s">
        <v>70</v>
      </c>
      <c r="C17" s="24" t="s">
        <v>74</v>
      </c>
      <c r="D17" s="24" t="s">
        <v>270</v>
      </c>
      <c r="E17" s="24" t="s">
        <v>234</v>
      </c>
      <c r="F17" s="26">
        <v>350</v>
      </c>
      <c r="G17" s="24" t="s">
        <v>236</v>
      </c>
      <c r="H17" s="28" t="s">
        <v>271</v>
      </c>
      <c r="I17" s="28" t="s">
        <v>271</v>
      </c>
      <c r="J17" s="28" t="s">
        <v>272</v>
      </c>
      <c r="K17" s="29" t="s">
        <v>273</v>
      </c>
      <c r="L17" s="129"/>
    </row>
    <row r="18" spans="1:12">
      <c r="A18" s="112"/>
      <c r="B18" s="23" t="s">
        <v>152</v>
      </c>
      <c r="C18" s="24" t="s">
        <v>85</v>
      </c>
      <c r="D18" s="24" t="s">
        <v>274</v>
      </c>
      <c r="E18" s="24"/>
      <c r="F18" s="26"/>
      <c r="G18" s="24"/>
      <c r="H18" s="28"/>
      <c r="I18" s="28"/>
      <c r="J18" s="28"/>
      <c r="K18" s="29" t="s">
        <v>275</v>
      </c>
      <c r="L18" s="111"/>
    </row>
    <row r="19" spans="1:12">
      <c r="A19" s="112"/>
      <c r="B19" s="127"/>
      <c r="C19" s="109"/>
      <c r="D19" s="109"/>
      <c r="E19" s="109"/>
      <c r="F19" s="109"/>
      <c r="G19" s="109"/>
      <c r="H19" s="109"/>
      <c r="I19" s="109"/>
      <c r="J19" s="109"/>
      <c r="K19" s="109"/>
      <c r="L19" s="108"/>
    </row>
    <row r="20" spans="1:12">
      <c r="A20" s="112"/>
      <c r="B20" s="23" t="s">
        <v>70</v>
      </c>
      <c r="C20" s="24" t="s">
        <v>270</v>
      </c>
      <c r="D20" s="24" t="s">
        <v>74</v>
      </c>
      <c r="E20" s="24" t="s">
        <v>234</v>
      </c>
      <c r="F20" s="26">
        <v>350</v>
      </c>
      <c r="G20" s="24" t="s">
        <v>236</v>
      </c>
      <c r="H20" s="28" t="s">
        <v>271</v>
      </c>
      <c r="I20" s="28" t="s">
        <v>271</v>
      </c>
      <c r="J20" s="28" t="s">
        <v>272</v>
      </c>
      <c r="K20" s="29" t="s">
        <v>273</v>
      </c>
      <c r="L20" s="129"/>
    </row>
    <row r="21" spans="1:12">
      <c r="A21" s="111"/>
      <c r="B21" s="23" t="s">
        <v>152</v>
      </c>
      <c r="C21" s="24" t="s">
        <v>274</v>
      </c>
      <c r="D21" s="24" t="s">
        <v>85</v>
      </c>
      <c r="E21" s="24"/>
      <c r="F21" s="26"/>
      <c r="G21" s="24"/>
      <c r="H21" s="28"/>
      <c r="I21" s="28"/>
      <c r="J21" s="28"/>
      <c r="K21" s="29" t="s">
        <v>275</v>
      </c>
      <c r="L21" s="111"/>
    </row>
    <row r="22" spans="1:12">
      <c r="A22" s="49"/>
      <c r="B22" s="50"/>
      <c r="C22" s="18"/>
      <c r="D22" s="18"/>
      <c r="E22" s="18"/>
      <c r="F22" s="58"/>
      <c r="G22" s="18"/>
      <c r="H22" s="34"/>
      <c r="I22" s="34"/>
      <c r="J22" s="34"/>
    </row>
    <row r="23" spans="1:12">
      <c r="A23" s="61" t="s">
        <v>7</v>
      </c>
      <c r="B23" s="133" t="s">
        <v>276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8"/>
    </row>
    <row r="24" spans="1:12">
      <c r="A24" s="49"/>
      <c r="B24" s="50"/>
      <c r="C24" s="18"/>
      <c r="D24" s="18"/>
      <c r="E24" s="18"/>
      <c r="F24" s="58"/>
      <c r="G24" s="18"/>
      <c r="H24" s="34"/>
      <c r="I24" s="34"/>
      <c r="J24" s="34"/>
    </row>
    <row r="25" spans="1:12">
      <c r="A25" s="144" t="s">
        <v>277</v>
      </c>
      <c r="B25" s="142" t="s">
        <v>70</v>
      </c>
      <c r="C25" s="24" t="s">
        <v>278</v>
      </c>
      <c r="D25" s="24" t="s">
        <v>279</v>
      </c>
      <c r="E25" s="24" t="s">
        <v>280</v>
      </c>
      <c r="F25" s="26">
        <v>5000</v>
      </c>
      <c r="G25" s="24" t="s">
        <v>281</v>
      </c>
      <c r="H25" s="52">
        <v>0.22916666666666666</v>
      </c>
      <c r="I25" s="52">
        <v>0.30208333333333331</v>
      </c>
      <c r="J25" s="28" t="s">
        <v>282</v>
      </c>
      <c r="K25" s="29" t="s">
        <v>283</v>
      </c>
      <c r="L25" s="131" t="s">
        <v>284</v>
      </c>
    </row>
    <row r="26" spans="1:12">
      <c r="A26" s="145"/>
      <c r="B26" s="142" t="s">
        <v>152</v>
      </c>
      <c r="C26" s="24" t="s">
        <v>285</v>
      </c>
      <c r="D26" s="24" t="s">
        <v>286</v>
      </c>
      <c r="E26" s="24"/>
      <c r="F26" s="26"/>
      <c r="G26" s="24"/>
      <c r="H26" s="28"/>
      <c r="I26" s="28"/>
      <c r="J26" s="28"/>
      <c r="K26" s="29" t="s">
        <v>287</v>
      </c>
      <c r="L26" s="111"/>
    </row>
    <row r="27" spans="1:12">
      <c r="A27" s="145"/>
      <c r="B27" s="143"/>
      <c r="C27" s="109"/>
      <c r="D27" s="109"/>
      <c r="E27" s="109"/>
      <c r="F27" s="109"/>
      <c r="G27" s="109"/>
      <c r="H27" s="109"/>
      <c r="I27" s="109"/>
      <c r="J27" s="109"/>
      <c r="K27" s="109"/>
      <c r="L27" s="108"/>
    </row>
    <row r="28" spans="1:12">
      <c r="A28" s="145"/>
      <c r="B28" s="142" t="s">
        <v>70</v>
      </c>
      <c r="C28" s="24" t="s">
        <v>288</v>
      </c>
      <c r="D28" s="24" t="s">
        <v>289</v>
      </c>
      <c r="E28" s="24" t="s">
        <v>290</v>
      </c>
      <c r="F28" s="26">
        <v>1500</v>
      </c>
      <c r="G28" s="24" t="s">
        <v>291</v>
      </c>
      <c r="H28" s="52">
        <v>0.64583333333333337</v>
      </c>
      <c r="I28" s="52">
        <v>0.66319444444444442</v>
      </c>
      <c r="J28" s="28" t="s">
        <v>292</v>
      </c>
      <c r="K28" s="29" t="s">
        <v>293</v>
      </c>
      <c r="L28" s="134" t="s">
        <v>294</v>
      </c>
    </row>
    <row r="29" spans="1:12">
      <c r="A29" s="145"/>
      <c r="B29" s="142" t="s">
        <v>152</v>
      </c>
      <c r="C29" s="24" t="s">
        <v>296</v>
      </c>
      <c r="D29" s="24" t="s">
        <v>297</v>
      </c>
      <c r="E29" s="24"/>
      <c r="F29" s="26"/>
      <c r="G29" s="24" t="s">
        <v>298</v>
      </c>
      <c r="H29" s="28"/>
      <c r="I29" s="28"/>
      <c r="J29" s="28"/>
      <c r="K29" s="29"/>
      <c r="L29" s="111"/>
    </row>
    <row r="30" spans="1:12">
      <c r="A30" s="145"/>
      <c r="B30" s="50"/>
      <c r="C30" s="18"/>
      <c r="D30" s="18"/>
      <c r="E30" s="18"/>
      <c r="F30" s="58"/>
      <c r="G30" s="18"/>
      <c r="H30" s="34"/>
      <c r="I30" s="34"/>
      <c r="J30" s="34"/>
    </row>
    <row r="31" spans="1:12">
      <c r="A31" s="145"/>
      <c r="B31" s="142" t="s">
        <v>70</v>
      </c>
      <c r="C31" s="24" t="s">
        <v>289</v>
      </c>
      <c r="D31" s="24" t="s">
        <v>300</v>
      </c>
      <c r="E31" s="24" t="s">
        <v>290</v>
      </c>
      <c r="F31" s="26">
        <v>690</v>
      </c>
      <c r="G31" s="24" t="s">
        <v>291</v>
      </c>
      <c r="H31" s="52">
        <v>0.69444444444444442</v>
      </c>
      <c r="I31" s="52">
        <v>0.71111111111111114</v>
      </c>
      <c r="J31" s="28" t="s">
        <v>292</v>
      </c>
      <c r="K31" s="29" t="s">
        <v>301</v>
      </c>
      <c r="L31" s="134" t="s">
        <v>294</v>
      </c>
    </row>
    <row r="32" spans="1:12">
      <c r="A32" s="146"/>
      <c r="B32" s="142" t="s">
        <v>152</v>
      </c>
      <c r="C32" s="24" t="s">
        <v>297</v>
      </c>
      <c r="D32" s="24" t="s">
        <v>302</v>
      </c>
      <c r="E32" s="24"/>
      <c r="F32" s="26"/>
      <c r="G32" s="24" t="s">
        <v>298</v>
      </c>
      <c r="H32" s="28"/>
      <c r="I32" s="28"/>
      <c r="J32" s="28"/>
      <c r="K32" s="29"/>
      <c r="L32" s="111"/>
    </row>
    <row r="33" spans="1:12">
      <c r="A33" s="140"/>
      <c r="B33" s="127"/>
      <c r="C33" s="109"/>
      <c r="D33" s="109"/>
      <c r="E33" s="109"/>
      <c r="F33" s="109"/>
      <c r="G33" s="109"/>
      <c r="H33" s="109"/>
      <c r="I33" s="109"/>
      <c r="J33" s="109"/>
      <c r="K33" s="109"/>
      <c r="L33" s="108"/>
    </row>
    <row r="34" spans="1:12">
      <c r="A34" s="138" t="s">
        <v>299</v>
      </c>
      <c r="B34" s="23" t="s">
        <v>70</v>
      </c>
      <c r="C34" s="24" t="s">
        <v>300</v>
      </c>
      <c r="D34" s="24" t="s">
        <v>303</v>
      </c>
      <c r="E34" s="24" t="s">
        <v>252</v>
      </c>
      <c r="F34" s="26">
        <v>2050</v>
      </c>
      <c r="G34" s="24" t="s">
        <v>291</v>
      </c>
      <c r="H34" s="28" t="s">
        <v>304</v>
      </c>
      <c r="I34" s="28"/>
      <c r="J34" s="28" t="s">
        <v>305</v>
      </c>
      <c r="K34" s="29" t="s">
        <v>306</v>
      </c>
      <c r="L34" s="134" t="s">
        <v>307</v>
      </c>
    </row>
    <row r="35" spans="1:12">
      <c r="A35" s="141"/>
      <c r="B35" s="23" t="s">
        <v>152</v>
      </c>
      <c r="C35" s="24" t="s">
        <v>302</v>
      </c>
      <c r="D35" s="24" t="s">
        <v>308</v>
      </c>
      <c r="E35" s="24"/>
      <c r="F35" s="26"/>
      <c r="G35" s="24" t="s">
        <v>298</v>
      </c>
      <c r="H35" s="28"/>
      <c r="I35" s="28"/>
      <c r="J35" s="28"/>
      <c r="K35" s="29"/>
      <c r="L35" s="111"/>
    </row>
    <row r="36" spans="1:12">
      <c r="A36" s="49"/>
      <c r="B36" s="50"/>
      <c r="C36" s="18"/>
      <c r="D36" s="18"/>
      <c r="E36" s="18"/>
      <c r="F36" s="58"/>
      <c r="G36" s="18"/>
      <c r="H36" s="34"/>
      <c r="I36" s="34"/>
      <c r="J36" s="34"/>
    </row>
    <row r="37" spans="1:12">
      <c r="A37" s="128" t="s">
        <v>309</v>
      </c>
      <c r="B37" s="23" t="s">
        <v>70</v>
      </c>
      <c r="C37" s="24" t="s">
        <v>303</v>
      </c>
      <c r="D37" s="24" t="s">
        <v>310</v>
      </c>
      <c r="E37" s="24" t="s">
        <v>280</v>
      </c>
      <c r="F37" s="26">
        <v>2800</v>
      </c>
      <c r="G37" s="24" t="s">
        <v>291</v>
      </c>
      <c r="H37" s="52">
        <v>0.36805555555555558</v>
      </c>
      <c r="I37" s="52">
        <v>0.40277777777777779</v>
      </c>
      <c r="J37" s="28" t="s">
        <v>311</v>
      </c>
      <c r="K37" s="29" t="s">
        <v>312</v>
      </c>
      <c r="L37" s="132" t="s">
        <v>313</v>
      </c>
    </row>
    <row r="38" spans="1:12">
      <c r="A38" s="112"/>
      <c r="B38" s="23" t="s">
        <v>152</v>
      </c>
      <c r="C38" s="24" t="s">
        <v>308</v>
      </c>
      <c r="D38" s="24" t="s">
        <v>314</v>
      </c>
      <c r="E38" s="24"/>
      <c r="F38" s="26"/>
      <c r="G38" s="24" t="s">
        <v>298</v>
      </c>
      <c r="H38" s="28"/>
      <c r="I38" s="28"/>
      <c r="J38" s="28"/>
      <c r="K38" s="29"/>
      <c r="L38" s="111"/>
    </row>
    <row r="39" spans="1:12">
      <c r="A39" s="112"/>
      <c r="B39" s="127"/>
      <c r="C39" s="109"/>
      <c r="D39" s="109"/>
      <c r="E39" s="109"/>
      <c r="F39" s="109"/>
      <c r="G39" s="109"/>
      <c r="H39" s="109"/>
      <c r="I39" s="109"/>
      <c r="J39" s="109"/>
      <c r="K39" s="109"/>
      <c r="L39" s="108"/>
    </row>
    <row r="40" spans="1:12">
      <c r="A40" s="112"/>
      <c r="B40" s="23"/>
      <c r="C40" s="24" t="s">
        <v>310</v>
      </c>
      <c r="D40" s="24" t="s">
        <v>315</v>
      </c>
      <c r="E40" s="24" t="s">
        <v>280</v>
      </c>
      <c r="F40" s="26">
        <v>2800</v>
      </c>
      <c r="G40" s="24" t="s">
        <v>291</v>
      </c>
      <c r="H40" s="52">
        <v>0.57638888888888884</v>
      </c>
      <c r="I40" s="52">
        <v>0.63541666666666663</v>
      </c>
      <c r="J40" s="28" t="s">
        <v>316</v>
      </c>
      <c r="K40" s="29" t="s">
        <v>312</v>
      </c>
      <c r="L40" s="132" t="s">
        <v>313</v>
      </c>
    </row>
    <row r="41" spans="1:12">
      <c r="A41" s="111"/>
      <c r="B41" s="23"/>
      <c r="C41" s="24" t="s">
        <v>314</v>
      </c>
      <c r="D41" s="24" t="s">
        <v>317</v>
      </c>
      <c r="E41" s="24"/>
      <c r="F41" s="26"/>
      <c r="G41" s="24" t="s">
        <v>298</v>
      </c>
      <c r="H41" s="28"/>
      <c r="I41" s="28"/>
      <c r="J41" s="28"/>
      <c r="K41" s="29"/>
      <c r="L41" s="111"/>
    </row>
    <row r="42" spans="1:12">
      <c r="A42" s="49"/>
      <c r="B42" s="50"/>
      <c r="C42" s="18"/>
      <c r="D42" s="18"/>
      <c r="E42" s="18"/>
      <c r="F42" s="58"/>
      <c r="G42" s="18"/>
      <c r="H42" s="34"/>
      <c r="I42" s="34"/>
      <c r="J42" s="34"/>
    </row>
    <row r="43" spans="1:12">
      <c r="A43" s="128" t="s">
        <v>318</v>
      </c>
      <c r="B43" s="23" t="s">
        <v>70</v>
      </c>
      <c r="C43" s="24" t="s">
        <v>320</v>
      </c>
      <c r="D43" s="24" t="s">
        <v>321</v>
      </c>
      <c r="E43" s="24" t="s">
        <v>234</v>
      </c>
      <c r="F43" s="26">
        <v>210</v>
      </c>
      <c r="G43" s="24" t="s">
        <v>322</v>
      </c>
      <c r="H43" s="28" t="s">
        <v>271</v>
      </c>
      <c r="I43" s="28" t="s">
        <v>271</v>
      </c>
      <c r="J43" s="28"/>
      <c r="K43" s="29" t="s">
        <v>323</v>
      </c>
      <c r="L43" s="129"/>
    </row>
    <row r="44" spans="1:12">
      <c r="A44" s="112"/>
      <c r="B44" s="23" t="s">
        <v>152</v>
      </c>
      <c r="C44" s="24" t="s">
        <v>324</v>
      </c>
      <c r="D44" s="24" t="s">
        <v>325</v>
      </c>
      <c r="E44" s="24"/>
      <c r="F44" s="26"/>
      <c r="G44" s="24"/>
      <c r="H44" s="28"/>
      <c r="I44" s="28"/>
      <c r="J44" s="28"/>
      <c r="K44" s="29"/>
      <c r="L44" s="111"/>
    </row>
    <row r="45" spans="1:12">
      <c r="A45" s="112"/>
      <c r="B45" s="127"/>
      <c r="C45" s="109"/>
      <c r="D45" s="109"/>
      <c r="E45" s="109"/>
      <c r="F45" s="109"/>
      <c r="G45" s="109"/>
      <c r="H45" s="109"/>
      <c r="I45" s="109"/>
      <c r="J45" s="109"/>
      <c r="K45" s="109"/>
      <c r="L45" s="108"/>
    </row>
    <row r="46" spans="1:12">
      <c r="A46" s="112"/>
      <c r="B46" s="23" t="s">
        <v>70</v>
      </c>
      <c r="C46" s="24" t="s">
        <v>321</v>
      </c>
      <c r="D46" s="24" t="s">
        <v>326</v>
      </c>
      <c r="E46" s="24" t="s">
        <v>234</v>
      </c>
      <c r="F46" s="26">
        <v>210</v>
      </c>
      <c r="G46" s="24" t="s">
        <v>322</v>
      </c>
      <c r="H46" s="64" t="s">
        <v>271</v>
      </c>
      <c r="I46" s="64" t="s">
        <v>271</v>
      </c>
      <c r="J46" s="28"/>
      <c r="K46" s="29" t="s">
        <v>323</v>
      </c>
      <c r="L46" s="129"/>
    </row>
    <row r="47" spans="1:12">
      <c r="A47" s="112"/>
      <c r="B47" s="23" t="s">
        <v>152</v>
      </c>
      <c r="C47" s="24" t="s">
        <v>325</v>
      </c>
      <c r="D47" s="24" t="s">
        <v>327</v>
      </c>
      <c r="E47" s="24"/>
      <c r="F47" s="26"/>
      <c r="G47" s="24"/>
      <c r="H47" s="28"/>
      <c r="I47" s="28"/>
      <c r="J47" s="28"/>
      <c r="K47" s="29"/>
      <c r="L47" s="111"/>
    </row>
    <row r="48" spans="1:12">
      <c r="A48" s="112"/>
      <c r="B48" s="127"/>
      <c r="C48" s="109"/>
      <c r="D48" s="109"/>
      <c r="E48" s="109"/>
      <c r="F48" s="109"/>
      <c r="G48" s="109"/>
      <c r="H48" s="109"/>
      <c r="I48" s="109"/>
      <c r="J48" s="109"/>
      <c r="K48" s="109"/>
      <c r="L48" s="108"/>
    </row>
    <row r="49" spans="1:12">
      <c r="A49" s="112"/>
      <c r="B49" s="23" t="s">
        <v>70</v>
      </c>
      <c r="C49" s="24" t="s">
        <v>328</v>
      </c>
      <c r="D49" s="24" t="s">
        <v>329</v>
      </c>
      <c r="E49" s="24" t="s">
        <v>234</v>
      </c>
      <c r="F49" s="26">
        <v>210</v>
      </c>
      <c r="G49" s="24" t="s">
        <v>322</v>
      </c>
      <c r="H49" s="64" t="s">
        <v>271</v>
      </c>
      <c r="I49" s="64" t="s">
        <v>271</v>
      </c>
      <c r="J49" s="28"/>
      <c r="K49" s="29" t="s">
        <v>323</v>
      </c>
      <c r="L49" s="129"/>
    </row>
    <row r="50" spans="1:12">
      <c r="A50" s="111"/>
      <c r="B50" s="23" t="s">
        <v>152</v>
      </c>
      <c r="C50" s="24" t="s">
        <v>330</v>
      </c>
      <c r="D50" s="24" t="s">
        <v>331</v>
      </c>
      <c r="E50" s="24"/>
      <c r="F50" s="26"/>
      <c r="G50" s="24"/>
      <c r="H50" s="28"/>
      <c r="I50" s="28"/>
      <c r="J50" s="28"/>
      <c r="K50" s="29"/>
      <c r="L50" s="111"/>
    </row>
    <row r="51" spans="1:12">
      <c r="A51" s="49"/>
      <c r="B51" s="50"/>
      <c r="C51" s="18"/>
      <c r="D51" s="18"/>
      <c r="E51" s="18"/>
      <c r="F51" s="58"/>
      <c r="G51" s="18"/>
      <c r="H51" s="34"/>
      <c r="I51" s="34"/>
      <c r="J51" s="34"/>
    </row>
    <row r="52" spans="1:12">
      <c r="A52" s="128" t="s">
        <v>332</v>
      </c>
      <c r="B52" s="23" t="s">
        <v>70</v>
      </c>
      <c r="C52" s="24" t="s">
        <v>143</v>
      </c>
      <c r="D52" s="24" t="s">
        <v>160</v>
      </c>
      <c r="E52" s="24" t="s">
        <v>280</v>
      </c>
      <c r="F52" s="26">
        <v>9170</v>
      </c>
      <c r="G52" s="24" t="s">
        <v>333</v>
      </c>
      <c r="H52" s="52">
        <v>0.54027777777777775</v>
      </c>
      <c r="I52" s="52">
        <v>0.6</v>
      </c>
      <c r="J52" s="28" t="s">
        <v>334</v>
      </c>
      <c r="K52" s="29" t="s">
        <v>335</v>
      </c>
      <c r="L52" s="129" t="s">
        <v>336</v>
      </c>
    </row>
    <row r="53" spans="1:12">
      <c r="A53" s="111"/>
      <c r="B53" s="23" t="s">
        <v>152</v>
      </c>
      <c r="C53" s="24" t="s">
        <v>317</v>
      </c>
      <c r="D53" s="24" t="s">
        <v>337</v>
      </c>
      <c r="E53" s="24"/>
      <c r="F53" s="26"/>
      <c r="G53" s="29" t="s">
        <v>338</v>
      </c>
      <c r="H53" s="28"/>
      <c r="I53" s="28"/>
      <c r="J53" s="28"/>
      <c r="K53" s="29" t="s">
        <v>339</v>
      </c>
      <c r="L53" s="111"/>
    </row>
    <row r="54" spans="1:12">
      <c r="A54" s="49"/>
      <c r="B54" s="50"/>
      <c r="C54" s="50"/>
      <c r="D54" s="18"/>
      <c r="E54" s="18"/>
      <c r="F54" s="58"/>
      <c r="G54" s="18"/>
      <c r="H54" s="34"/>
      <c r="I54" s="34"/>
      <c r="J54" s="34"/>
    </row>
    <row r="55" spans="1:12">
      <c r="A55" s="128" t="s">
        <v>340</v>
      </c>
      <c r="B55" s="23" t="s">
        <v>70</v>
      </c>
      <c r="C55" s="23" t="s">
        <v>341</v>
      </c>
      <c r="D55" s="24" t="s">
        <v>342</v>
      </c>
      <c r="E55" s="24" t="s">
        <v>280</v>
      </c>
      <c r="F55" s="26">
        <v>2500</v>
      </c>
      <c r="G55" s="24" t="s">
        <v>343</v>
      </c>
      <c r="H55" s="52">
        <v>0.28472222222222221</v>
      </c>
      <c r="I55" s="52">
        <v>0.32361111111111113</v>
      </c>
      <c r="J55" s="28" t="s">
        <v>344</v>
      </c>
      <c r="K55" s="29"/>
      <c r="L55" s="131" t="s">
        <v>284</v>
      </c>
    </row>
    <row r="56" spans="1:12">
      <c r="A56" s="112"/>
      <c r="B56" s="23" t="s">
        <v>152</v>
      </c>
      <c r="C56" s="23" t="s">
        <v>345</v>
      </c>
      <c r="D56" s="24"/>
      <c r="E56" s="24"/>
      <c r="F56" s="26"/>
      <c r="G56" s="24" t="s">
        <v>346</v>
      </c>
      <c r="H56" s="28"/>
      <c r="I56" s="28"/>
      <c r="J56" s="28"/>
      <c r="K56" s="29"/>
      <c r="L56" s="111"/>
    </row>
    <row r="57" spans="1:12">
      <c r="A57" s="112"/>
      <c r="B57" s="127"/>
      <c r="C57" s="109"/>
      <c r="D57" s="109"/>
      <c r="E57" s="109"/>
      <c r="F57" s="109"/>
      <c r="G57" s="109"/>
      <c r="H57" s="109"/>
      <c r="I57" s="109"/>
      <c r="J57" s="109"/>
      <c r="K57" s="109"/>
      <c r="L57" s="108"/>
    </row>
    <row r="58" spans="1:12">
      <c r="A58" s="112"/>
      <c r="B58" s="23" t="s">
        <v>70</v>
      </c>
      <c r="C58" s="23" t="s">
        <v>347</v>
      </c>
      <c r="D58" s="24" t="s">
        <v>341</v>
      </c>
      <c r="E58" s="24" t="s">
        <v>280</v>
      </c>
      <c r="F58" s="26">
        <v>2500</v>
      </c>
      <c r="G58" s="24" t="s">
        <v>343</v>
      </c>
      <c r="H58" s="52">
        <v>0.62986111111111109</v>
      </c>
      <c r="I58" s="52">
        <v>0.67013888888888884</v>
      </c>
      <c r="J58" s="28" t="s">
        <v>348</v>
      </c>
      <c r="K58" s="29"/>
      <c r="L58" s="131" t="s">
        <v>284</v>
      </c>
    </row>
    <row r="59" spans="1:12">
      <c r="A59" s="111"/>
      <c r="B59" s="23" t="s">
        <v>152</v>
      </c>
      <c r="C59" s="23"/>
      <c r="D59" s="24" t="s">
        <v>345</v>
      </c>
      <c r="E59" s="24"/>
      <c r="F59" s="26"/>
      <c r="G59" s="24" t="s">
        <v>346</v>
      </c>
      <c r="H59" s="28"/>
      <c r="I59" s="28"/>
      <c r="J59" s="28"/>
      <c r="K59" s="29"/>
      <c r="L59" s="111"/>
    </row>
    <row r="60" spans="1:12">
      <c r="A60" s="49"/>
      <c r="B60" s="50"/>
      <c r="C60" s="50"/>
      <c r="D60" s="18"/>
      <c r="E60" s="18"/>
      <c r="F60" s="58"/>
      <c r="G60" s="18"/>
      <c r="H60" s="34"/>
      <c r="I60" s="34"/>
      <c r="J60" s="34"/>
    </row>
    <row r="61" spans="1:12">
      <c r="A61" s="128" t="s">
        <v>16</v>
      </c>
      <c r="B61" s="23" t="s">
        <v>70</v>
      </c>
      <c r="C61" s="23" t="s">
        <v>160</v>
      </c>
      <c r="D61" s="24" t="s">
        <v>349</v>
      </c>
      <c r="E61" s="24" t="s">
        <v>280</v>
      </c>
      <c r="F61" s="26">
        <v>8240</v>
      </c>
      <c r="G61" s="24" t="s">
        <v>333</v>
      </c>
      <c r="H61" s="52">
        <v>0.38680555555555557</v>
      </c>
      <c r="I61" s="52">
        <v>0.43819444444444444</v>
      </c>
      <c r="J61" s="28" t="s">
        <v>350</v>
      </c>
      <c r="K61" s="29" t="s">
        <v>351</v>
      </c>
      <c r="L61" s="129" t="s">
        <v>352</v>
      </c>
    </row>
    <row r="62" spans="1:12">
      <c r="A62" s="111"/>
      <c r="B62" s="23" t="s">
        <v>152</v>
      </c>
      <c r="C62" s="23" t="s">
        <v>165</v>
      </c>
      <c r="D62" s="24" t="s">
        <v>353</v>
      </c>
      <c r="E62" s="24"/>
      <c r="F62" s="26"/>
      <c r="G62" s="24" t="s">
        <v>338</v>
      </c>
      <c r="H62" s="28"/>
      <c r="I62" s="28"/>
      <c r="J62" s="28"/>
      <c r="K62" s="29" t="s">
        <v>354</v>
      </c>
      <c r="L62" s="111"/>
    </row>
    <row r="63" spans="1:12">
      <c r="A63" s="49"/>
      <c r="B63" s="50"/>
      <c r="C63" s="50"/>
      <c r="D63" s="18"/>
      <c r="E63" s="18"/>
      <c r="F63" s="58"/>
      <c r="G63" s="18"/>
      <c r="H63" s="34"/>
      <c r="I63" s="34"/>
      <c r="J63" s="34"/>
    </row>
    <row r="64" spans="1:12">
      <c r="A64" s="61" t="s">
        <v>355</v>
      </c>
      <c r="B64" s="23"/>
      <c r="C64" s="23" t="s">
        <v>356</v>
      </c>
      <c r="D64" s="24"/>
      <c r="E64" s="24" t="s">
        <v>234</v>
      </c>
      <c r="F64" s="26">
        <v>2290</v>
      </c>
      <c r="G64" s="24"/>
      <c r="H64" s="28"/>
      <c r="I64" s="28"/>
      <c r="J64" s="28"/>
      <c r="K64" s="29"/>
      <c r="L64" s="29"/>
    </row>
    <row r="65" spans="1:12">
      <c r="A65" s="49"/>
      <c r="B65" s="50"/>
      <c r="C65" s="50"/>
      <c r="D65" s="18"/>
      <c r="E65" s="18"/>
      <c r="F65" s="58"/>
      <c r="G65" s="18"/>
      <c r="H65" s="34"/>
      <c r="I65" s="34"/>
      <c r="J65" s="34"/>
    </row>
    <row r="66" spans="1:12">
      <c r="A66" s="61" t="s">
        <v>20</v>
      </c>
      <c r="B66" s="23"/>
      <c r="C66" s="23" t="s">
        <v>356</v>
      </c>
      <c r="D66" s="24"/>
      <c r="E66" s="24" t="s">
        <v>234</v>
      </c>
      <c r="F66" s="26">
        <v>1000</v>
      </c>
      <c r="G66" s="24"/>
      <c r="H66" s="28"/>
      <c r="I66" s="28"/>
      <c r="J66" s="28"/>
      <c r="K66" s="29"/>
      <c r="L66" s="29"/>
    </row>
    <row r="67" spans="1:12">
      <c r="A67" s="49"/>
      <c r="B67" s="50"/>
      <c r="C67" s="50"/>
      <c r="D67" s="18"/>
      <c r="E67" s="18"/>
      <c r="F67" s="58"/>
      <c r="G67" s="18"/>
      <c r="H67" s="34"/>
      <c r="I67" s="34"/>
      <c r="J67" s="34"/>
    </row>
    <row r="68" spans="1:12">
      <c r="A68" s="49"/>
      <c r="B68" s="50"/>
      <c r="C68" s="50"/>
      <c r="D68" s="135" t="s">
        <v>359</v>
      </c>
      <c r="E68" s="115"/>
      <c r="F68" s="66">
        <f>SUM(F2:F66)</f>
        <v>47740</v>
      </c>
      <c r="G68" s="18"/>
      <c r="H68" s="34"/>
      <c r="I68" s="34"/>
      <c r="J68" s="34"/>
    </row>
    <row r="69" spans="1:12">
      <c r="A69" s="49"/>
      <c r="B69" s="50"/>
      <c r="C69" s="50"/>
      <c r="D69" s="136" t="s">
        <v>360</v>
      </c>
      <c r="E69" s="118"/>
      <c r="F69" s="119"/>
      <c r="G69" s="18"/>
      <c r="H69" s="34"/>
      <c r="I69" s="34"/>
      <c r="J69" s="34"/>
    </row>
    <row r="70" spans="1:12">
      <c r="A70" s="49"/>
      <c r="B70" s="50"/>
      <c r="C70" s="50"/>
      <c r="D70" s="67"/>
      <c r="E70" s="68" t="s">
        <v>234</v>
      </c>
      <c r="F70" s="69">
        <f>SUMIF(E2:E67, "*IC Card*", F2:F67)</f>
        <v>7500</v>
      </c>
      <c r="G70" s="18"/>
      <c r="H70" s="34"/>
      <c r="I70" s="34"/>
      <c r="J70" s="34"/>
    </row>
    <row r="71" spans="1:12">
      <c r="A71" s="49"/>
      <c r="B71" s="50"/>
      <c r="C71" s="18"/>
      <c r="D71" s="137" t="s">
        <v>361</v>
      </c>
      <c r="E71" s="118"/>
      <c r="F71" s="69">
        <f>F68-F72-F70</f>
        <v>7230</v>
      </c>
      <c r="G71" s="18"/>
      <c r="H71" s="34"/>
      <c r="I71" s="34"/>
      <c r="J71" s="34"/>
    </row>
    <row r="72" spans="1:12">
      <c r="A72" s="49"/>
      <c r="B72" s="50"/>
      <c r="C72" s="18"/>
      <c r="D72" s="70"/>
      <c r="E72" s="71" t="s">
        <v>362</v>
      </c>
      <c r="F72" s="72">
        <f>F25+F37+F40+F52+F61+F58+F55</f>
        <v>33010</v>
      </c>
      <c r="G72" s="18"/>
      <c r="H72" s="34"/>
      <c r="I72" s="34"/>
      <c r="J72" s="34"/>
    </row>
    <row r="73" spans="1:12">
      <c r="A73" s="49"/>
      <c r="B73" s="50"/>
      <c r="C73" s="18"/>
      <c r="D73" s="18"/>
      <c r="F73" s="73"/>
      <c r="G73" s="18"/>
      <c r="H73" s="34"/>
      <c r="I73" s="34"/>
      <c r="J73" s="34"/>
    </row>
    <row r="74" spans="1:12">
      <c r="A74" s="49"/>
      <c r="B74" s="50"/>
      <c r="C74" s="18"/>
      <c r="D74" s="18"/>
      <c r="F74" s="73"/>
      <c r="G74" s="18"/>
      <c r="H74" s="34"/>
      <c r="I74" s="34"/>
      <c r="J74" s="34"/>
    </row>
    <row r="75" spans="1:12">
      <c r="A75" s="49"/>
      <c r="B75" s="50"/>
      <c r="C75" s="18"/>
      <c r="D75" s="18"/>
      <c r="E75" s="18"/>
      <c r="F75" s="58"/>
      <c r="G75" s="18"/>
      <c r="H75" s="34"/>
      <c r="I75" s="34"/>
      <c r="J75" s="34"/>
    </row>
    <row r="76" spans="1:12">
      <c r="A76" s="49"/>
      <c r="B76" s="50"/>
      <c r="C76" s="18"/>
      <c r="D76" s="18"/>
      <c r="E76" s="18"/>
      <c r="F76" s="58"/>
      <c r="G76" s="18"/>
      <c r="H76" s="34"/>
      <c r="I76" s="34"/>
      <c r="J76" s="34"/>
    </row>
    <row r="77" spans="1:12">
      <c r="A77" s="49"/>
      <c r="B77" s="50"/>
      <c r="C77" s="18"/>
      <c r="D77" s="18"/>
      <c r="E77" s="18"/>
      <c r="F77" s="58"/>
      <c r="G77" s="18"/>
      <c r="H77" s="34"/>
      <c r="I77" s="34"/>
      <c r="J77" s="34"/>
    </row>
    <row r="78" spans="1:12">
      <c r="A78" s="49"/>
      <c r="B78" s="50"/>
      <c r="C78" s="18"/>
      <c r="D78" s="18"/>
      <c r="E78" s="18"/>
      <c r="F78" s="58"/>
      <c r="G78" s="18"/>
      <c r="H78" s="34"/>
      <c r="I78" s="34"/>
      <c r="J78" s="34"/>
    </row>
    <row r="79" spans="1:12">
      <c r="A79" s="49"/>
      <c r="B79" s="50"/>
      <c r="C79" s="18"/>
      <c r="D79" s="18"/>
      <c r="E79" s="18"/>
      <c r="F79" s="58"/>
      <c r="G79" s="18"/>
      <c r="H79" s="34"/>
      <c r="I79" s="34"/>
      <c r="J79" s="34"/>
    </row>
    <row r="80" spans="1:12">
      <c r="A80" s="49"/>
      <c r="B80" s="50"/>
      <c r="C80" s="18"/>
      <c r="D80" s="18"/>
      <c r="E80" s="18"/>
      <c r="F80" s="58"/>
      <c r="G80" s="18"/>
      <c r="H80" s="34"/>
      <c r="I80" s="34"/>
      <c r="J80" s="34"/>
    </row>
    <row r="81" spans="1:10">
      <c r="A81" s="49"/>
      <c r="B81" s="50"/>
      <c r="C81" s="18"/>
      <c r="D81" s="18"/>
      <c r="E81" s="18"/>
      <c r="F81" s="58"/>
      <c r="G81" s="18"/>
      <c r="H81" s="34"/>
      <c r="I81" s="34"/>
      <c r="J81" s="34"/>
    </row>
    <row r="82" spans="1:10">
      <c r="A82" s="49"/>
      <c r="B82" s="50"/>
      <c r="C82" s="18"/>
      <c r="D82" s="18"/>
      <c r="E82" s="18"/>
      <c r="F82" s="58"/>
      <c r="G82" s="18"/>
      <c r="H82" s="34"/>
      <c r="I82" s="34"/>
      <c r="J82" s="34"/>
    </row>
    <row r="83" spans="1:10">
      <c r="A83" s="49"/>
      <c r="B83" s="50"/>
      <c r="C83" s="18"/>
      <c r="D83" s="18"/>
      <c r="E83" s="18"/>
      <c r="F83" s="58"/>
      <c r="G83" s="18"/>
      <c r="H83" s="34"/>
      <c r="I83" s="34"/>
      <c r="J83" s="34"/>
    </row>
    <row r="84" spans="1:10">
      <c r="A84" s="49"/>
      <c r="B84" s="50"/>
      <c r="C84" s="18"/>
      <c r="D84" s="18"/>
      <c r="E84" s="18"/>
      <c r="F84" s="58"/>
      <c r="G84" s="18"/>
      <c r="H84" s="34"/>
      <c r="I84" s="34"/>
      <c r="J84" s="34"/>
    </row>
    <row r="85" spans="1:10">
      <c r="A85" s="49"/>
      <c r="B85" s="50"/>
      <c r="C85" s="18"/>
      <c r="D85" s="18"/>
      <c r="E85" s="18"/>
      <c r="F85" s="58"/>
      <c r="G85" s="18"/>
      <c r="H85" s="34"/>
      <c r="I85" s="34"/>
      <c r="J85" s="34"/>
    </row>
    <row r="86" spans="1:10">
      <c r="A86" s="49"/>
      <c r="B86" s="50"/>
      <c r="C86" s="18"/>
      <c r="D86" s="18"/>
      <c r="E86" s="18"/>
      <c r="F86" s="58"/>
      <c r="G86" s="18"/>
      <c r="H86" s="34"/>
      <c r="I86" s="34"/>
      <c r="J86" s="34"/>
    </row>
    <row r="87" spans="1:10">
      <c r="A87" s="49"/>
      <c r="B87" s="50"/>
      <c r="C87" s="18"/>
      <c r="D87" s="18"/>
      <c r="E87" s="18"/>
      <c r="F87" s="58"/>
      <c r="G87" s="18"/>
      <c r="H87" s="34"/>
      <c r="I87" s="34"/>
      <c r="J87" s="34"/>
    </row>
    <row r="88" spans="1:10">
      <c r="A88" s="49"/>
      <c r="B88" s="50"/>
      <c r="C88" s="18"/>
      <c r="D88" s="18"/>
      <c r="E88" s="18"/>
      <c r="F88" s="58"/>
      <c r="G88" s="18"/>
      <c r="H88" s="34"/>
      <c r="I88" s="34"/>
      <c r="J88" s="34"/>
    </row>
    <row r="89" spans="1:10">
      <c r="A89" s="49"/>
      <c r="B89" s="50"/>
      <c r="C89" s="18"/>
      <c r="D89" s="18"/>
      <c r="E89" s="18"/>
      <c r="F89" s="58"/>
      <c r="G89" s="18"/>
      <c r="H89" s="34"/>
      <c r="I89" s="34"/>
      <c r="J89" s="34"/>
    </row>
    <row r="90" spans="1:10">
      <c r="A90" s="49"/>
      <c r="B90" s="50"/>
      <c r="C90" s="18"/>
      <c r="D90" s="18"/>
      <c r="E90" s="18"/>
      <c r="F90" s="58"/>
      <c r="G90" s="18"/>
      <c r="H90" s="34"/>
      <c r="I90" s="34"/>
      <c r="J90" s="34"/>
    </row>
    <row r="91" spans="1:10">
      <c r="A91" s="49"/>
      <c r="B91" s="50"/>
      <c r="C91" s="18"/>
      <c r="D91" s="18"/>
      <c r="E91" s="18"/>
      <c r="F91" s="58"/>
      <c r="G91" s="18"/>
      <c r="H91" s="34"/>
      <c r="I91" s="34"/>
      <c r="J91" s="34"/>
    </row>
    <row r="92" spans="1:10">
      <c r="A92" s="49"/>
      <c r="B92" s="50"/>
      <c r="C92" s="18"/>
      <c r="D92" s="18"/>
      <c r="E92" s="18"/>
      <c r="F92" s="58"/>
      <c r="G92" s="18"/>
      <c r="H92" s="34"/>
      <c r="I92" s="34"/>
      <c r="J92" s="34"/>
    </row>
    <row r="93" spans="1:10">
      <c r="A93" s="49"/>
      <c r="B93" s="50"/>
      <c r="C93" s="18"/>
      <c r="D93" s="18"/>
      <c r="E93" s="18"/>
      <c r="F93" s="58"/>
      <c r="G93" s="18"/>
      <c r="H93" s="34"/>
      <c r="I93" s="34"/>
      <c r="J93" s="34"/>
    </row>
    <row r="94" spans="1:10">
      <c r="A94" s="49"/>
      <c r="B94" s="50"/>
      <c r="C94" s="18"/>
      <c r="D94" s="18"/>
      <c r="E94" s="18"/>
      <c r="F94" s="58"/>
      <c r="G94" s="18"/>
      <c r="H94" s="34"/>
      <c r="I94" s="34"/>
      <c r="J94" s="34"/>
    </row>
    <row r="95" spans="1:10">
      <c r="A95" s="49"/>
      <c r="B95" s="50"/>
      <c r="C95" s="18"/>
      <c r="D95" s="18"/>
      <c r="E95" s="18"/>
      <c r="F95" s="58"/>
      <c r="G95" s="18"/>
      <c r="H95" s="34"/>
      <c r="I95" s="34"/>
      <c r="J95" s="34"/>
    </row>
    <row r="96" spans="1:10">
      <c r="A96" s="49"/>
      <c r="B96" s="50"/>
      <c r="C96" s="18"/>
      <c r="D96" s="18"/>
      <c r="E96" s="18"/>
      <c r="F96" s="58"/>
      <c r="G96" s="18"/>
      <c r="H96" s="34"/>
      <c r="I96" s="34"/>
      <c r="J96" s="34"/>
    </row>
    <row r="97" spans="1:10">
      <c r="A97" s="49"/>
      <c r="B97" s="50"/>
      <c r="C97" s="18"/>
      <c r="D97" s="18"/>
      <c r="E97" s="18"/>
      <c r="F97" s="58"/>
      <c r="G97" s="18"/>
      <c r="H97" s="34"/>
      <c r="I97" s="34"/>
      <c r="J97" s="34"/>
    </row>
    <row r="98" spans="1:10">
      <c r="A98" s="49"/>
      <c r="B98" s="50"/>
      <c r="C98" s="18"/>
      <c r="D98" s="18"/>
      <c r="E98" s="18"/>
      <c r="F98" s="58"/>
      <c r="G98" s="18"/>
      <c r="H98" s="34"/>
      <c r="I98" s="34"/>
      <c r="J98" s="34"/>
    </row>
    <row r="99" spans="1:10">
      <c r="A99" s="49"/>
      <c r="B99" s="50"/>
      <c r="C99" s="18"/>
      <c r="D99" s="18"/>
      <c r="E99" s="18"/>
      <c r="F99" s="58"/>
      <c r="G99" s="18"/>
      <c r="H99" s="34"/>
      <c r="I99" s="34"/>
      <c r="J99" s="34"/>
    </row>
    <row r="100" spans="1:10">
      <c r="A100" s="49"/>
      <c r="B100" s="50"/>
      <c r="C100" s="18"/>
      <c r="D100" s="18"/>
      <c r="E100" s="18"/>
      <c r="F100" s="58"/>
      <c r="G100" s="18"/>
      <c r="H100" s="34"/>
      <c r="I100" s="34"/>
      <c r="J100" s="34"/>
    </row>
    <row r="101" spans="1:10">
      <c r="A101" s="49"/>
      <c r="B101" s="50"/>
      <c r="C101" s="18"/>
      <c r="D101" s="18"/>
      <c r="E101" s="18"/>
      <c r="F101" s="58"/>
      <c r="G101" s="18"/>
      <c r="H101" s="34"/>
      <c r="I101" s="34"/>
      <c r="J101" s="34"/>
    </row>
    <row r="102" spans="1:10">
      <c r="A102" s="49"/>
      <c r="B102" s="50"/>
      <c r="C102" s="18"/>
      <c r="D102" s="18"/>
      <c r="E102" s="18"/>
      <c r="F102" s="58"/>
      <c r="G102" s="18"/>
      <c r="H102" s="34"/>
      <c r="I102" s="34"/>
      <c r="J102" s="34"/>
    </row>
    <row r="103" spans="1:10">
      <c r="A103" s="49"/>
      <c r="B103" s="50"/>
      <c r="C103" s="18"/>
      <c r="D103" s="18"/>
      <c r="E103" s="18"/>
      <c r="F103" s="58"/>
      <c r="G103" s="18"/>
      <c r="H103" s="34"/>
      <c r="I103" s="34"/>
      <c r="J103" s="34"/>
    </row>
    <row r="104" spans="1:10">
      <c r="A104" s="49"/>
      <c r="B104" s="50"/>
      <c r="C104" s="18"/>
      <c r="D104" s="18"/>
      <c r="E104" s="18"/>
      <c r="F104" s="58"/>
      <c r="G104" s="18"/>
      <c r="H104" s="34"/>
      <c r="I104" s="34"/>
      <c r="J104" s="34"/>
    </row>
    <row r="105" spans="1:10">
      <c r="A105" s="49"/>
      <c r="B105" s="50"/>
      <c r="C105" s="18"/>
      <c r="D105" s="18"/>
      <c r="E105" s="18"/>
      <c r="F105" s="58"/>
      <c r="G105" s="18"/>
      <c r="H105" s="34"/>
      <c r="I105" s="34"/>
      <c r="J105" s="34"/>
    </row>
    <row r="106" spans="1:10">
      <c r="A106" s="49"/>
      <c r="B106" s="50"/>
      <c r="C106" s="18"/>
      <c r="D106" s="18"/>
      <c r="E106" s="18"/>
      <c r="F106" s="58"/>
      <c r="G106" s="18"/>
      <c r="H106" s="34"/>
      <c r="I106" s="34"/>
      <c r="J106" s="34"/>
    </row>
    <row r="107" spans="1:10">
      <c r="A107" s="49"/>
      <c r="B107" s="50"/>
      <c r="C107" s="18"/>
      <c r="D107" s="18"/>
      <c r="E107" s="18"/>
      <c r="F107" s="58"/>
      <c r="G107" s="18"/>
      <c r="H107" s="34"/>
      <c r="I107" s="34"/>
      <c r="J107" s="34"/>
    </row>
    <row r="108" spans="1:10">
      <c r="A108" s="49"/>
      <c r="B108" s="50"/>
      <c r="C108" s="18"/>
      <c r="D108" s="18"/>
      <c r="E108" s="18"/>
      <c r="F108" s="58"/>
      <c r="G108" s="18"/>
      <c r="H108" s="34"/>
      <c r="I108" s="34"/>
      <c r="J108" s="34"/>
    </row>
    <row r="109" spans="1:10">
      <c r="A109" s="49"/>
      <c r="B109" s="50"/>
      <c r="C109" s="18"/>
      <c r="D109" s="18"/>
      <c r="E109" s="18"/>
      <c r="F109" s="58"/>
      <c r="G109" s="18"/>
      <c r="H109" s="34"/>
      <c r="I109" s="34"/>
      <c r="J109" s="34"/>
    </row>
    <row r="110" spans="1:10">
      <c r="A110" s="49"/>
      <c r="B110" s="50"/>
      <c r="C110" s="18"/>
      <c r="D110" s="18"/>
      <c r="E110" s="18"/>
      <c r="F110" s="58"/>
      <c r="G110" s="18"/>
      <c r="H110" s="34"/>
      <c r="I110" s="34"/>
      <c r="J110" s="34"/>
    </row>
    <row r="111" spans="1:10">
      <c r="A111" s="49"/>
      <c r="B111" s="50"/>
      <c r="C111" s="18"/>
      <c r="D111" s="18"/>
      <c r="E111" s="18"/>
      <c r="F111" s="58"/>
      <c r="G111" s="18"/>
      <c r="H111" s="34"/>
      <c r="I111" s="34"/>
      <c r="J111" s="34"/>
    </row>
    <row r="112" spans="1:10">
      <c r="A112" s="49"/>
      <c r="B112" s="50"/>
      <c r="C112" s="18"/>
      <c r="D112" s="18"/>
      <c r="E112" s="18"/>
      <c r="F112" s="58"/>
      <c r="G112" s="18"/>
      <c r="H112" s="34"/>
      <c r="I112" s="34"/>
      <c r="J112" s="34"/>
    </row>
    <row r="113" spans="1:10">
      <c r="A113" s="49"/>
      <c r="B113" s="50"/>
      <c r="C113" s="18"/>
      <c r="D113" s="18"/>
      <c r="E113" s="18"/>
      <c r="F113" s="58"/>
      <c r="G113" s="18"/>
      <c r="H113" s="34"/>
      <c r="I113" s="34"/>
      <c r="J113" s="34"/>
    </row>
    <row r="114" spans="1:10">
      <c r="A114" s="49"/>
      <c r="B114" s="50"/>
      <c r="C114" s="18"/>
      <c r="D114" s="18"/>
      <c r="E114" s="18"/>
      <c r="F114" s="58"/>
      <c r="G114" s="18"/>
      <c r="H114" s="34"/>
      <c r="I114" s="34"/>
      <c r="J114" s="34"/>
    </row>
    <row r="115" spans="1:10">
      <c r="A115" s="49"/>
      <c r="B115" s="50"/>
      <c r="C115" s="18"/>
      <c r="D115" s="18"/>
      <c r="E115" s="18"/>
      <c r="F115" s="58"/>
      <c r="G115" s="18"/>
      <c r="H115" s="34"/>
      <c r="I115" s="34"/>
      <c r="J115" s="34"/>
    </row>
    <row r="116" spans="1:10">
      <c r="A116" s="49"/>
      <c r="B116" s="50"/>
      <c r="C116" s="18"/>
      <c r="D116" s="18"/>
      <c r="E116" s="18"/>
      <c r="F116" s="58"/>
      <c r="G116" s="18"/>
      <c r="H116" s="34"/>
      <c r="I116" s="34"/>
      <c r="J116" s="34"/>
    </row>
    <row r="117" spans="1:10">
      <c r="A117" s="49"/>
      <c r="B117" s="50"/>
      <c r="C117" s="18"/>
      <c r="D117" s="18"/>
      <c r="E117" s="18"/>
      <c r="F117" s="58"/>
      <c r="G117" s="18"/>
      <c r="H117" s="34"/>
      <c r="I117" s="34"/>
      <c r="J117" s="34"/>
    </row>
    <row r="118" spans="1:10">
      <c r="A118" s="49"/>
      <c r="B118" s="50"/>
      <c r="C118" s="18"/>
      <c r="D118" s="18"/>
      <c r="E118" s="18"/>
      <c r="F118" s="58"/>
      <c r="G118" s="18"/>
      <c r="H118" s="34"/>
      <c r="I118" s="34"/>
      <c r="J118" s="34"/>
    </row>
    <row r="119" spans="1:10">
      <c r="A119" s="49"/>
      <c r="B119" s="50"/>
      <c r="C119" s="18"/>
      <c r="D119" s="18"/>
      <c r="E119" s="18"/>
      <c r="F119" s="58"/>
      <c r="G119" s="18"/>
      <c r="H119" s="34"/>
      <c r="I119" s="34"/>
      <c r="J119" s="34"/>
    </row>
    <row r="120" spans="1:10">
      <c r="A120" s="49"/>
      <c r="B120" s="50"/>
      <c r="C120" s="18"/>
      <c r="D120" s="18"/>
      <c r="E120" s="18"/>
      <c r="F120" s="58"/>
      <c r="G120" s="18"/>
      <c r="H120" s="34"/>
      <c r="I120" s="34"/>
      <c r="J120" s="34"/>
    </row>
    <row r="121" spans="1:10">
      <c r="A121" s="49"/>
      <c r="B121" s="50"/>
      <c r="C121" s="18"/>
      <c r="D121" s="18"/>
      <c r="E121" s="18"/>
      <c r="F121" s="58"/>
      <c r="G121" s="18"/>
      <c r="H121" s="34"/>
      <c r="I121" s="34"/>
      <c r="J121" s="34"/>
    </row>
    <row r="122" spans="1:10">
      <c r="A122" s="49"/>
      <c r="B122" s="50"/>
      <c r="C122" s="18"/>
      <c r="D122" s="18"/>
      <c r="E122" s="18"/>
      <c r="F122" s="58"/>
      <c r="G122" s="18"/>
      <c r="H122" s="34"/>
      <c r="I122" s="34"/>
      <c r="J122" s="34"/>
    </row>
    <row r="123" spans="1:10">
      <c r="A123" s="49"/>
      <c r="B123" s="50"/>
      <c r="C123" s="18"/>
      <c r="D123" s="18"/>
      <c r="E123" s="18"/>
      <c r="F123" s="58"/>
      <c r="G123" s="18"/>
      <c r="H123" s="34"/>
      <c r="I123" s="34"/>
      <c r="J123" s="34"/>
    </row>
    <row r="124" spans="1:10">
      <c r="A124" s="49"/>
      <c r="B124" s="50"/>
      <c r="C124" s="18"/>
      <c r="D124" s="18"/>
      <c r="E124" s="18"/>
      <c r="F124" s="58"/>
      <c r="G124" s="18"/>
      <c r="H124" s="34"/>
      <c r="I124" s="34"/>
      <c r="J124" s="34"/>
    </row>
    <row r="125" spans="1:10">
      <c r="A125" s="49"/>
      <c r="B125" s="50"/>
      <c r="C125" s="18"/>
      <c r="D125" s="18"/>
      <c r="E125" s="18"/>
      <c r="F125" s="58"/>
      <c r="G125" s="18"/>
      <c r="H125" s="34"/>
      <c r="I125" s="34"/>
      <c r="J125" s="34"/>
    </row>
    <row r="126" spans="1:10">
      <c r="A126" s="49"/>
      <c r="B126" s="50"/>
      <c r="C126" s="18"/>
      <c r="D126" s="18"/>
      <c r="E126" s="18"/>
      <c r="F126" s="58"/>
      <c r="G126" s="18"/>
      <c r="H126" s="34"/>
      <c r="I126" s="34"/>
      <c r="J126" s="34"/>
    </row>
    <row r="127" spans="1:10">
      <c r="A127" s="49"/>
      <c r="B127" s="50"/>
      <c r="C127" s="18"/>
      <c r="D127" s="18"/>
      <c r="E127" s="18"/>
      <c r="F127" s="58"/>
      <c r="G127" s="18"/>
      <c r="H127" s="34"/>
      <c r="I127" s="34"/>
      <c r="J127" s="34"/>
    </row>
    <row r="128" spans="1:10">
      <c r="A128" s="49"/>
      <c r="B128" s="50"/>
      <c r="C128" s="18"/>
      <c r="D128" s="18"/>
      <c r="E128" s="18"/>
      <c r="F128" s="58"/>
      <c r="G128" s="18"/>
      <c r="H128" s="34"/>
      <c r="I128" s="34"/>
      <c r="J128" s="34"/>
    </row>
    <row r="129" spans="1:10">
      <c r="A129" s="49"/>
      <c r="B129" s="50"/>
      <c r="C129" s="18"/>
      <c r="D129" s="18"/>
      <c r="E129" s="18"/>
      <c r="F129" s="58"/>
      <c r="G129" s="18"/>
      <c r="H129" s="34"/>
      <c r="I129" s="34"/>
      <c r="J129" s="34"/>
    </row>
    <row r="130" spans="1:10">
      <c r="A130" s="49"/>
      <c r="B130" s="50"/>
      <c r="C130" s="18"/>
      <c r="D130" s="18"/>
      <c r="E130" s="18"/>
      <c r="F130" s="58"/>
      <c r="G130" s="18"/>
      <c r="H130" s="34"/>
      <c r="I130" s="34"/>
      <c r="J130" s="34"/>
    </row>
    <row r="131" spans="1:10">
      <c r="A131" s="49"/>
      <c r="B131" s="50"/>
      <c r="C131" s="18"/>
      <c r="D131" s="18"/>
      <c r="E131" s="18"/>
      <c r="F131" s="58"/>
      <c r="G131" s="18"/>
      <c r="H131" s="34"/>
      <c r="I131" s="34"/>
      <c r="J131" s="34"/>
    </row>
    <row r="132" spans="1:10">
      <c r="A132" s="49"/>
      <c r="B132" s="50"/>
      <c r="C132" s="18"/>
      <c r="D132" s="18"/>
      <c r="E132" s="18"/>
      <c r="F132" s="58"/>
      <c r="G132" s="18"/>
      <c r="H132" s="34"/>
      <c r="I132" s="34"/>
      <c r="J132" s="34"/>
    </row>
    <row r="133" spans="1:10">
      <c r="A133" s="49"/>
      <c r="B133" s="50"/>
      <c r="C133" s="18"/>
      <c r="D133" s="18"/>
      <c r="E133" s="18"/>
      <c r="F133" s="58"/>
      <c r="G133" s="18"/>
      <c r="H133" s="34"/>
      <c r="I133" s="34"/>
      <c r="J133" s="34"/>
    </row>
    <row r="134" spans="1:10">
      <c r="A134" s="49"/>
      <c r="B134" s="50"/>
      <c r="C134" s="18"/>
      <c r="D134" s="18"/>
      <c r="E134" s="18"/>
      <c r="F134" s="58"/>
      <c r="G134" s="18"/>
      <c r="H134" s="34"/>
      <c r="I134" s="34"/>
      <c r="J134" s="34"/>
    </row>
    <row r="135" spans="1:10">
      <c r="A135" s="49"/>
      <c r="B135" s="50"/>
      <c r="C135" s="18"/>
      <c r="D135" s="18"/>
      <c r="E135" s="18"/>
      <c r="F135" s="58"/>
      <c r="G135" s="18"/>
      <c r="H135" s="34"/>
      <c r="I135" s="34"/>
      <c r="J135" s="34"/>
    </row>
    <row r="136" spans="1:10">
      <c r="A136" s="49"/>
      <c r="B136" s="50"/>
      <c r="C136" s="18"/>
      <c r="D136" s="18"/>
      <c r="E136" s="18"/>
      <c r="F136" s="58"/>
      <c r="G136" s="18"/>
      <c r="H136" s="34"/>
      <c r="I136" s="34"/>
      <c r="J136" s="34"/>
    </row>
    <row r="137" spans="1:10">
      <c r="A137" s="49"/>
      <c r="B137" s="50"/>
      <c r="C137" s="18"/>
      <c r="D137" s="18"/>
      <c r="E137" s="18"/>
      <c r="F137" s="58"/>
      <c r="G137" s="18"/>
      <c r="H137" s="34"/>
      <c r="I137" s="34"/>
      <c r="J137" s="34"/>
    </row>
    <row r="138" spans="1:10">
      <c r="A138" s="49"/>
      <c r="B138" s="50"/>
      <c r="C138" s="18"/>
      <c r="D138" s="18"/>
      <c r="E138" s="18"/>
      <c r="F138" s="58"/>
      <c r="G138" s="18"/>
      <c r="H138" s="34"/>
      <c r="I138" s="34"/>
      <c r="J138" s="34"/>
    </row>
    <row r="139" spans="1:10">
      <c r="A139" s="49"/>
      <c r="B139" s="50"/>
      <c r="C139" s="18"/>
      <c r="D139" s="18"/>
      <c r="E139" s="18"/>
      <c r="F139" s="58"/>
      <c r="G139" s="18"/>
      <c r="H139" s="34"/>
      <c r="I139" s="34"/>
      <c r="J139" s="34"/>
    </row>
    <row r="140" spans="1:10">
      <c r="A140" s="49"/>
      <c r="B140" s="50"/>
      <c r="C140" s="18"/>
      <c r="D140" s="18"/>
      <c r="E140" s="18"/>
      <c r="F140" s="58"/>
      <c r="G140" s="18"/>
      <c r="H140" s="34"/>
      <c r="I140" s="34"/>
      <c r="J140" s="34"/>
    </row>
    <row r="141" spans="1:10">
      <c r="A141" s="49"/>
      <c r="B141" s="50"/>
      <c r="C141" s="18"/>
      <c r="D141" s="18"/>
      <c r="E141" s="18"/>
      <c r="F141" s="58"/>
      <c r="G141" s="18"/>
      <c r="H141" s="34"/>
      <c r="I141" s="34"/>
      <c r="J141" s="34"/>
    </row>
    <row r="142" spans="1:10">
      <c r="A142" s="49"/>
      <c r="B142" s="50"/>
      <c r="C142" s="18"/>
      <c r="D142" s="18"/>
      <c r="E142" s="18"/>
      <c r="F142" s="58"/>
      <c r="G142" s="18"/>
      <c r="H142" s="34"/>
      <c r="I142" s="34"/>
      <c r="J142" s="34"/>
    </row>
    <row r="143" spans="1:10">
      <c r="A143" s="49"/>
      <c r="B143" s="50"/>
      <c r="C143" s="18"/>
      <c r="D143" s="18"/>
      <c r="E143" s="18"/>
      <c r="F143" s="58"/>
      <c r="G143" s="18"/>
      <c r="H143" s="34"/>
      <c r="I143" s="34"/>
      <c r="J143" s="34"/>
    </row>
    <row r="144" spans="1:10">
      <c r="A144" s="49"/>
      <c r="B144" s="50"/>
      <c r="C144" s="18"/>
      <c r="D144" s="18"/>
      <c r="E144" s="18"/>
      <c r="F144" s="58"/>
      <c r="G144" s="18"/>
      <c r="H144" s="34"/>
      <c r="I144" s="34"/>
      <c r="J144" s="34"/>
    </row>
    <row r="145" spans="1:10">
      <c r="A145" s="49"/>
      <c r="B145" s="50"/>
      <c r="C145" s="18"/>
      <c r="D145" s="18"/>
      <c r="E145" s="18"/>
      <c r="F145" s="58"/>
      <c r="G145" s="18"/>
      <c r="H145" s="34"/>
      <c r="I145" s="34"/>
      <c r="J145" s="34"/>
    </row>
    <row r="146" spans="1:10">
      <c r="A146" s="49"/>
      <c r="B146" s="50"/>
      <c r="C146" s="18"/>
      <c r="D146" s="18"/>
      <c r="E146" s="18"/>
      <c r="F146" s="58"/>
      <c r="G146" s="18"/>
      <c r="H146" s="34"/>
      <c r="I146" s="34"/>
      <c r="J146" s="34"/>
    </row>
    <row r="147" spans="1:10">
      <c r="A147" s="49"/>
      <c r="B147" s="50"/>
      <c r="C147" s="18"/>
      <c r="D147" s="18"/>
      <c r="E147" s="18"/>
      <c r="F147" s="58"/>
      <c r="G147" s="18"/>
      <c r="H147" s="34"/>
      <c r="I147" s="34"/>
      <c r="J147" s="34"/>
    </row>
    <row r="148" spans="1:10">
      <c r="A148" s="49"/>
      <c r="B148" s="50"/>
      <c r="C148" s="18"/>
      <c r="D148" s="18"/>
      <c r="E148" s="18"/>
      <c r="F148" s="58"/>
      <c r="G148" s="18"/>
      <c r="H148" s="34"/>
      <c r="I148" s="34"/>
      <c r="J148" s="34"/>
    </row>
    <row r="149" spans="1:10">
      <c r="A149" s="49"/>
      <c r="B149" s="50"/>
      <c r="C149" s="18"/>
      <c r="D149" s="18"/>
      <c r="E149" s="18"/>
      <c r="F149" s="58"/>
      <c r="G149" s="18"/>
      <c r="H149" s="34"/>
      <c r="I149" s="34"/>
      <c r="J149" s="34"/>
    </row>
    <row r="150" spans="1:10">
      <c r="A150" s="49"/>
      <c r="B150" s="50"/>
      <c r="C150" s="18"/>
      <c r="D150" s="18"/>
      <c r="E150" s="18"/>
      <c r="F150" s="58"/>
      <c r="G150" s="18"/>
      <c r="H150" s="34"/>
      <c r="I150" s="34"/>
      <c r="J150" s="34"/>
    </row>
    <row r="151" spans="1:10">
      <c r="A151" s="49"/>
      <c r="B151" s="50"/>
      <c r="C151" s="18"/>
      <c r="D151" s="18"/>
      <c r="E151" s="18"/>
      <c r="F151" s="58"/>
      <c r="G151" s="18"/>
      <c r="H151" s="34"/>
      <c r="I151" s="34"/>
      <c r="J151" s="34"/>
    </row>
    <row r="152" spans="1:10">
      <c r="A152" s="49"/>
      <c r="B152" s="50"/>
      <c r="C152" s="18"/>
      <c r="D152" s="18"/>
      <c r="E152" s="18"/>
      <c r="F152" s="58"/>
      <c r="G152" s="18"/>
      <c r="H152" s="34"/>
      <c r="I152" s="34"/>
      <c r="J152" s="34"/>
    </row>
    <row r="153" spans="1:10">
      <c r="A153" s="49"/>
      <c r="B153" s="50"/>
      <c r="C153" s="18"/>
      <c r="D153" s="18"/>
      <c r="E153" s="18"/>
      <c r="F153" s="58"/>
      <c r="G153" s="18"/>
      <c r="H153" s="34"/>
      <c r="I153" s="34"/>
      <c r="J153" s="34"/>
    </row>
    <row r="154" spans="1:10">
      <c r="A154" s="49"/>
      <c r="B154" s="50"/>
      <c r="C154" s="18"/>
      <c r="D154" s="18"/>
      <c r="E154" s="18"/>
      <c r="F154" s="58"/>
      <c r="G154" s="18"/>
      <c r="H154" s="34"/>
      <c r="I154" s="34"/>
      <c r="J154" s="34"/>
    </row>
    <row r="155" spans="1:10">
      <c r="A155" s="49"/>
      <c r="B155" s="50"/>
      <c r="C155" s="18"/>
      <c r="D155" s="18"/>
      <c r="E155" s="18"/>
      <c r="F155" s="58"/>
      <c r="G155" s="18"/>
      <c r="H155" s="34"/>
      <c r="I155" s="34"/>
      <c r="J155" s="34"/>
    </row>
    <row r="156" spans="1:10">
      <c r="A156" s="49"/>
      <c r="B156" s="50"/>
      <c r="C156" s="18"/>
      <c r="D156" s="18"/>
      <c r="E156" s="18"/>
      <c r="F156" s="58"/>
      <c r="G156" s="18"/>
      <c r="H156" s="34"/>
      <c r="I156" s="34"/>
      <c r="J156" s="34"/>
    </row>
    <row r="157" spans="1:10">
      <c r="A157" s="49"/>
      <c r="B157" s="50"/>
      <c r="C157" s="18"/>
      <c r="D157" s="18"/>
      <c r="E157" s="18"/>
      <c r="F157" s="58"/>
      <c r="G157" s="18"/>
      <c r="H157" s="34"/>
      <c r="I157" s="34"/>
      <c r="J157" s="34"/>
    </row>
    <row r="158" spans="1:10">
      <c r="A158" s="49"/>
      <c r="B158" s="50"/>
      <c r="C158" s="18"/>
      <c r="D158" s="18"/>
      <c r="E158" s="18"/>
      <c r="F158" s="58"/>
      <c r="G158" s="18"/>
      <c r="H158" s="34"/>
      <c r="I158" s="34"/>
      <c r="J158" s="34"/>
    </row>
    <row r="159" spans="1:10">
      <c r="A159" s="49"/>
      <c r="B159" s="50"/>
      <c r="C159" s="18"/>
      <c r="D159" s="18"/>
      <c r="E159" s="18"/>
      <c r="F159" s="58"/>
      <c r="G159" s="18"/>
      <c r="H159" s="34"/>
      <c r="I159" s="34"/>
      <c r="J159" s="34"/>
    </row>
    <row r="160" spans="1:10">
      <c r="A160" s="49"/>
      <c r="B160" s="50"/>
      <c r="C160" s="18"/>
      <c r="D160" s="18"/>
      <c r="E160" s="18"/>
      <c r="F160" s="58"/>
      <c r="G160" s="18"/>
      <c r="H160" s="34"/>
      <c r="I160" s="34"/>
      <c r="J160" s="34"/>
    </row>
    <row r="161" spans="1:10">
      <c r="A161" s="49"/>
      <c r="B161" s="50"/>
      <c r="C161" s="18"/>
      <c r="D161" s="18"/>
      <c r="E161" s="18"/>
      <c r="F161" s="58"/>
      <c r="G161" s="18"/>
      <c r="H161" s="34"/>
      <c r="I161" s="34"/>
      <c r="J161" s="34"/>
    </row>
    <row r="162" spans="1:10">
      <c r="A162" s="49"/>
      <c r="B162" s="50"/>
      <c r="C162" s="18"/>
      <c r="D162" s="18"/>
      <c r="E162" s="18"/>
      <c r="F162" s="58"/>
      <c r="G162" s="18"/>
      <c r="H162" s="34"/>
      <c r="I162" s="34"/>
      <c r="J162" s="34"/>
    </row>
    <row r="163" spans="1:10">
      <c r="A163" s="49"/>
      <c r="B163" s="50"/>
      <c r="C163" s="18"/>
      <c r="D163" s="18"/>
      <c r="E163" s="18"/>
      <c r="F163" s="58"/>
      <c r="G163" s="18"/>
      <c r="H163" s="34"/>
      <c r="I163" s="34"/>
      <c r="J163" s="34"/>
    </row>
    <row r="164" spans="1:10">
      <c r="A164" s="49"/>
      <c r="B164" s="50"/>
      <c r="C164" s="18"/>
      <c r="D164" s="18"/>
      <c r="E164" s="18"/>
      <c r="F164" s="58"/>
      <c r="G164" s="18"/>
      <c r="H164" s="34"/>
      <c r="I164" s="34"/>
      <c r="J164" s="34"/>
    </row>
    <row r="165" spans="1:10">
      <c r="A165" s="49"/>
      <c r="B165" s="50"/>
      <c r="C165" s="18"/>
      <c r="D165" s="18"/>
      <c r="E165" s="18"/>
      <c r="F165" s="58"/>
      <c r="G165" s="18"/>
      <c r="H165" s="34"/>
      <c r="I165" s="34"/>
      <c r="J165" s="34"/>
    </row>
    <row r="166" spans="1:10">
      <c r="A166" s="49"/>
      <c r="B166" s="50"/>
      <c r="C166" s="18"/>
      <c r="D166" s="18"/>
      <c r="E166" s="18"/>
      <c r="F166" s="58"/>
      <c r="G166" s="18"/>
      <c r="H166" s="34"/>
      <c r="I166" s="34"/>
      <c r="J166" s="34"/>
    </row>
    <row r="167" spans="1:10">
      <c r="A167" s="49"/>
      <c r="B167" s="50"/>
      <c r="C167" s="18"/>
      <c r="D167" s="18"/>
      <c r="E167" s="18"/>
      <c r="F167" s="58"/>
      <c r="G167" s="18"/>
      <c r="H167" s="34"/>
      <c r="I167" s="34"/>
      <c r="J167" s="34"/>
    </row>
    <row r="168" spans="1:10">
      <c r="A168" s="49"/>
      <c r="B168" s="50"/>
      <c r="C168" s="18"/>
      <c r="D168" s="18"/>
      <c r="E168" s="18"/>
      <c r="F168" s="58"/>
      <c r="G168" s="18"/>
      <c r="H168" s="34"/>
      <c r="I168" s="34"/>
      <c r="J168" s="34"/>
    </row>
    <row r="169" spans="1:10">
      <c r="A169" s="49"/>
      <c r="B169" s="50"/>
      <c r="C169" s="18"/>
      <c r="D169" s="18"/>
      <c r="E169" s="18"/>
      <c r="F169" s="58"/>
      <c r="G169" s="18"/>
      <c r="H169" s="34"/>
      <c r="I169" s="34"/>
      <c r="J169" s="34"/>
    </row>
    <row r="170" spans="1:10">
      <c r="A170" s="49"/>
      <c r="B170" s="50"/>
      <c r="C170" s="18"/>
      <c r="D170" s="18"/>
      <c r="E170" s="18"/>
      <c r="F170" s="58"/>
      <c r="G170" s="18"/>
      <c r="H170" s="34"/>
      <c r="I170" s="34"/>
      <c r="J170" s="34"/>
    </row>
    <row r="171" spans="1:10">
      <c r="A171" s="49"/>
      <c r="B171" s="50"/>
      <c r="C171" s="18"/>
      <c r="D171" s="18"/>
      <c r="E171" s="18"/>
      <c r="F171" s="58"/>
      <c r="G171" s="18"/>
      <c r="H171" s="34"/>
      <c r="I171" s="34"/>
      <c r="J171" s="34"/>
    </row>
    <row r="172" spans="1:10">
      <c r="A172" s="49"/>
      <c r="B172" s="50"/>
      <c r="C172" s="18"/>
      <c r="D172" s="18"/>
      <c r="E172" s="18"/>
      <c r="F172" s="58"/>
      <c r="G172" s="18"/>
      <c r="H172" s="34"/>
      <c r="I172" s="34"/>
      <c r="J172" s="34"/>
    </row>
    <row r="173" spans="1:10">
      <c r="A173" s="49"/>
      <c r="B173" s="50"/>
      <c r="C173" s="18"/>
      <c r="D173" s="18"/>
      <c r="E173" s="18"/>
      <c r="F173" s="58"/>
      <c r="G173" s="18"/>
      <c r="H173" s="34"/>
      <c r="I173" s="34"/>
      <c r="J173" s="34"/>
    </row>
    <row r="174" spans="1:10">
      <c r="A174" s="49"/>
      <c r="B174" s="50"/>
      <c r="C174" s="18"/>
      <c r="D174" s="18"/>
      <c r="E174" s="18"/>
      <c r="F174" s="58"/>
      <c r="G174" s="18"/>
      <c r="H174" s="34"/>
      <c r="I174" s="34"/>
      <c r="J174" s="34"/>
    </row>
    <row r="175" spans="1:10">
      <c r="A175" s="49"/>
      <c r="B175" s="50"/>
      <c r="C175" s="18"/>
      <c r="D175" s="18"/>
      <c r="E175" s="18"/>
      <c r="F175" s="58"/>
      <c r="G175" s="18"/>
      <c r="H175" s="34"/>
      <c r="I175" s="34"/>
      <c r="J175" s="34"/>
    </row>
    <row r="176" spans="1:10">
      <c r="A176" s="49"/>
      <c r="B176" s="50"/>
      <c r="C176" s="18"/>
      <c r="D176" s="18"/>
      <c r="E176" s="18"/>
      <c r="F176" s="58"/>
      <c r="G176" s="18"/>
      <c r="H176" s="34"/>
      <c r="I176" s="34"/>
      <c r="J176" s="34"/>
    </row>
    <row r="177" spans="1:10">
      <c r="A177" s="49"/>
      <c r="B177" s="50"/>
      <c r="C177" s="18"/>
      <c r="D177" s="18"/>
      <c r="E177" s="18"/>
      <c r="F177" s="58"/>
      <c r="G177" s="18"/>
      <c r="H177" s="34"/>
      <c r="I177" s="34"/>
      <c r="J177" s="34"/>
    </row>
    <row r="178" spans="1:10">
      <c r="A178" s="49"/>
      <c r="B178" s="50"/>
      <c r="C178" s="18"/>
      <c r="D178" s="18"/>
      <c r="E178" s="18"/>
      <c r="F178" s="58"/>
      <c r="G178" s="18"/>
      <c r="H178" s="34"/>
      <c r="I178" s="34"/>
      <c r="J178" s="34"/>
    </row>
    <row r="179" spans="1:10">
      <c r="A179" s="49"/>
      <c r="B179" s="50"/>
      <c r="C179" s="18"/>
      <c r="D179" s="18"/>
      <c r="E179" s="18"/>
      <c r="F179" s="58"/>
      <c r="G179" s="18"/>
      <c r="H179" s="34"/>
      <c r="I179" s="34"/>
      <c r="J179" s="34"/>
    </row>
    <row r="180" spans="1:10">
      <c r="A180" s="49"/>
      <c r="B180" s="50"/>
      <c r="C180" s="18"/>
      <c r="D180" s="18"/>
      <c r="E180" s="18"/>
      <c r="F180" s="58"/>
      <c r="G180" s="18"/>
      <c r="H180" s="34"/>
      <c r="I180" s="34"/>
      <c r="J180" s="34"/>
    </row>
    <row r="181" spans="1:10">
      <c r="A181" s="49"/>
      <c r="B181" s="50"/>
      <c r="C181" s="18"/>
      <c r="D181" s="18"/>
      <c r="E181" s="18"/>
      <c r="F181" s="58"/>
      <c r="G181" s="18"/>
      <c r="H181" s="34"/>
      <c r="I181" s="34"/>
      <c r="J181" s="34"/>
    </row>
    <row r="182" spans="1:10">
      <c r="A182" s="49"/>
      <c r="B182" s="50"/>
      <c r="C182" s="18"/>
      <c r="D182" s="18"/>
      <c r="E182" s="18"/>
      <c r="F182" s="58"/>
      <c r="G182" s="18"/>
      <c r="H182" s="34"/>
      <c r="I182" s="34"/>
      <c r="J182" s="34"/>
    </row>
    <row r="183" spans="1:10">
      <c r="A183" s="49"/>
      <c r="B183" s="50"/>
      <c r="C183" s="18"/>
      <c r="D183" s="18"/>
      <c r="E183" s="18"/>
      <c r="F183" s="58"/>
      <c r="G183" s="18"/>
      <c r="H183" s="34"/>
      <c r="I183" s="34"/>
      <c r="J183" s="34"/>
    </row>
    <row r="184" spans="1:10">
      <c r="A184" s="49"/>
      <c r="B184" s="50"/>
      <c r="C184" s="18"/>
      <c r="D184" s="18"/>
      <c r="E184" s="18"/>
      <c r="F184" s="58"/>
      <c r="G184" s="18"/>
      <c r="H184" s="34"/>
      <c r="I184" s="34"/>
      <c r="J184" s="34"/>
    </row>
    <row r="185" spans="1:10">
      <c r="A185" s="49"/>
      <c r="B185" s="50"/>
      <c r="C185" s="18"/>
      <c r="D185" s="18"/>
      <c r="E185" s="18"/>
      <c r="F185" s="58"/>
      <c r="G185" s="18"/>
      <c r="H185" s="34"/>
      <c r="I185" s="34"/>
      <c r="J185" s="34"/>
    </row>
    <row r="186" spans="1:10">
      <c r="A186" s="49"/>
      <c r="B186" s="50"/>
      <c r="C186" s="18"/>
      <c r="D186" s="18"/>
      <c r="E186" s="18"/>
      <c r="F186" s="58"/>
      <c r="G186" s="18"/>
      <c r="H186" s="34"/>
      <c r="I186" s="34"/>
      <c r="J186" s="34"/>
    </row>
    <row r="187" spans="1:10">
      <c r="A187" s="49"/>
      <c r="B187" s="50"/>
      <c r="C187" s="18"/>
      <c r="D187" s="18"/>
      <c r="E187" s="18"/>
      <c r="F187" s="58"/>
      <c r="G187" s="18"/>
      <c r="H187" s="34"/>
      <c r="I187" s="34"/>
      <c r="J187" s="34"/>
    </row>
    <row r="188" spans="1:10">
      <c r="A188" s="49"/>
      <c r="B188" s="50"/>
      <c r="C188" s="18"/>
      <c r="D188" s="18"/>
      <c r="E188" s="18"/>
      <c r="F188" s="58"/>
      <c r="G188" s="18"/>
      <c r="H188" s="34"/>
      <c r="I188" s="34"/>
      <c r="J188" s="34"/>
    </row>
    <row r="189" spans="1:10">
      <c r="A189" s="49"/>
      <c r="B189" s="50"/>
      <c r="C189" s="18"/>
      <c r="D189" s="18"/>
      <c r="E189" s="18"/>
      <c r="F189" s="58"/>
      <c r="G189" s="18"/>
      <c r="H189" s="34"/>
      <c r="I189" s="34"/>
      <c r="J189" s="34"/>
    </row>
    <row r="190" spans="1:10">
      <c r="A190" s="49"/>
      <c r="B190" s="50"/>
      <c r="C190" s="18"/>
      <c r="D190" s="18"/>
      <c r="E190" s="18"/>
      <c r="F190" s="58"/>
      <c r="G190" s="18"/>
      <c r="H190" s="34"/>
      <c r="I190" s="34"/>
      <c r="J190" s="34"/>
    </row>
    <row r="191" spans="1:10">
      <c r="A191" s="49"/>
      <c r="B191" s="50"/>
      <c r="C191" s="18"/>
      <c r="D191" s="18"/>
      <c r="E191" s="18"/>
      <c r="F191" s="58"/>
      <c r="G191" s="18"/>
      <c r="H191" s="34"/>
      <c r="I191" s="34"/>
      <c r="J191" s="34"/>
    </row>
    <row r="192" spans="1:10">
      <c r="A192" s="49"/>
      <c r="B192" s="50"/>
      <c r="C192" s="18"/>
      <c r="D192" s="18"/>
      <c r="E192" s="18"/>
      <c r="F192" s="58"/>
      <c r="G192" s="18"/>
      <c r="H192" s="34"/>
      <c r="I192" s="34"/>
      <c r="J192" s="34"/>
    </row>
    <row r="193" spans="1:10">
      <c r="A193" s="49"/>
      <c r="B193" s="50"/>
      <c r="C193" s="18"/>
      <c r="D193" s="18"/>
      <c r="E193" s="18"/>
      <c r="F193" s="58"/>
      <c r="G193" s="18"/>
      <c r="H193" s="34"/>
      <c r="I193" s="34"/>
      <c r="J193" s="34"/>
    </row>
    <row r="194" spans="1:10">
      <c r="A194" s="49"/>
      <c r="B194" s="50"/>
      <c r="C194" s="18"/>
      <c r="D194" s="18"/>
      <c r="E194" s="18"/>
      <c r="F194" s="58"/>
      <c r="G194" s="18"/>
      <c r="H194" s="34"/>
      <c r="I194" s="34"/>
      <c r="J194" s="34"/>
    </row>
    <row r="195" spans="1:10">
      <c r="A195" s="49"/>
      <c r="B195" s="50"/>
      <c r="C195" s="18"/>
      <c r="D195" s="18"/>
      <c r="E195" s="18"/>
      <c r="F195" s="58"/>
      <c r="G195" s="18"/>
      <c r="H195" s="34"/>
      <c r="I195" s="34"/>
      <c r="J195" s="34"/>
    </row>
    <row r="196" spans="1:10">
      <c r="A196" s="49"/>
      <c r="B196" s="50"/>
      <c r="C196" s="18"/>
      <c r="D196" s="18"/>
      <c r="E196" s="18"/>
      <c r="F196" s="58"/>
      <c r="G196" s="18"/>
      <c r="H196" s="34"/>
      <c r="I196" s="34"/>
      <c r="J196" s="34"/>
    </row>
    <row r="197" spans="1:10">
      <c r="A197" s="49"/>
      <c r="B197" s="50"/>
      <c r="C197" s="18"/>
      <c r="D197" s="18"/>
      <c r="E197" s="18"/>
      <c r="F197" s="58"/>
      <c r="G197" s="18"/>
      <c r="H197" s="34"/>
      <c r="I197" s="34"/>
      <c r="J197" s="34"/>
    </row>
    <row r="198" spans="1:10">
      <c r="A198" s="49"/>
      <c r="B198" s="50"/>
      <c r="C198" s="18"/>
      <c r="D198" s="18"/>
      <c r="E198" s="18"/>
      <c r="F198" s="58"/>
      <c r="G198" s="18"/>
      <c r="H198" s="34"/>
      <c r="I198" s="34"/>
      <c r="J198" s="34"/>
    </row>
    <row r="199" spans="1:10">
      <c r="A199" s="49"/>
      <c r="B199" s="50"/>
      <c r="C199" s="18"/>
      <c r="D199" s="18"/>
      <c r="E199" s="18"/>
      <c r="F199" s="58"/>
      <c r="G199" s="18"/>
      <c r="H199" s="34"/>
      <c r="I199" s="34"/>
      <c r="J199" s="34"/>
    </row>
    <row r="200" spans="1:10">
      <c r="A200" s="49"/>
      <c r="B200" s="50"/>
      <c r="C200" s="18"/>
      <c r="D200" s="18"/>
      <c r="E200" s="18"/>
      <c r="F200" s="58"/>
      <c r="G200" s="18"/>
      <c r="H200" s="34"/>
      <c r="I200" s="34"/>
      <c r="J200" s="34"/>
    </row>
    <row r="201" spans="1:10">
      <c r="A201" s="49"/>
      <c r="B201" s="50"/>
      <c r="C201" s="18"/>
      <c r="D201" s="18"/>
      <c r="E201" s="18"/>
      <c r="F201" s="58"/>
      <c r="G201" s="18"/>
      <c r="H201" s="34"/>
      <c r="I201" s="34"/>
      <c r="J201" s="34"/>
    </row>
    <row r="202" spans="1:10">
      <c r="A202" s="49"/>
      <c r="B202" s="50"/>
      <c r="C202" s="18"/>
      <c r="D202" s="18"/>
      <c r="E202" s="18"/>
      <c r="F202" s="58"/>
      <c r="G202" s="18"/>
      <c r="H202" s="34"/>
      <c r="I202" s="34"/>
      <c r="J202" s="34"/>
    </row>
    <row r="203" spans="1:10">
      <c r="A203" s="49"/>
      <c r="B203" s="50"/>
      <c r="C203" s="18"/>
      <c r="D203" s="18"/>
      <c r="E203" s="18"/>
      <c r="F203" s="58"/>
      <c r="G203" s="18"/>
      <c r="H203" s="34"/>
      <c r="I203" s="34"/>
      <c r="J203" s="34"/>
    </row>
    <row r="204" spans="1:10">
      <c r="A204" s="49"/>
      <c r="B204" s="50"/>
      <c r="C204" s="18"/>
      <c r="D204" s="18"/>
      <c r="E204" s="18"/>
      <c r="F204" s="58"/>
      <c r="G204" s="18"/>
      <c r="H204" s="34"/>
      <c r="I204" s="34"/>
      <c r="J204" s="34"/>
    </row>
    <row r="205" spans="1:10">
      <c r="A205" s="49"/>
      <c r="B205" s="50"/>
      <c r="C205" s="18"/>
      <c r="D205" s="18"/>
      <c r="E205" s="18"/>
      <c r="F205" s="58"/>
      <c r="G205" s="18"/>
      <c r="H205" s="34"/>
      <c r="I205" s="34"/>
      <c r="J205" s="34"/>
    </row>
    <row r="206" spans="1:10">
      <c r="A206" s="49"/>
      <c r="B206" s="50"/>
      <c r="C206" s="18"/>
      <c r="D206" s="18"/>
      <c r="E206" s="18"/>
      <c r="F206" s="58"/>
      <c r="G206" s="18"/>
      <c r="H206" s="34"/>
      <c r="I206" s="34"/>
      <c r="J206" s="34"/>
    </row>
    <row r="207" spans="1:10">
      <c r="A207" s="49"/>
      <c r="B207" s="50"/>
      <c r="C207" s="18"/>
      <c r="D207" s="18"/>
      <c r="E207" s="18"/>
      <c r="F207" s="58"/>
      <c r="G207" s="18"/>
      <c r="H207" s="34"/>
      <c r="I207" s="34"/>
      <c r="J207" s="34"/>
    </row>
    <row r="208" spans="1:10">
      <c r="A208" s="49"/>
      <c r="B208" s="50"/>
      <c r="C208" s="18"/>
      <c r="D208" s="18"/>
      <c r="E208" s="18"/>
      <c r="F208" s="58"/>
      <c r="G208" s="18"/>
      <c r="H208" s="34"/>
      <c r="I208" s="34"/>
      <c r="J208" s="34"/>
    </row>
    <row r="209" spans="1:10">
      <c r="A209" s="49"/>
      <c r="B209" s="50"/>
      <c r="C209" s="18"/>
      <c r="D209" s="18"/>
      <c r="E209" s="18"/>
      <c r="F209" s="58"/>
      <c r="G209" s="18"/>
      <c r="H209" s="34"/>
      <c r="I209" s="34"/>
      <c r="J209" s="34"/>
    </row>
    <row r="210" spans="1:10">
      <c r="A210" s="49"/>
      <c r="B210" s="50"/>
      <c r="C210" s="18"/>
      <c r="D210" s="18"/>
      <c r="E210" s="18"/>
      <c r="F210" s="58"/>
      <c r="G210" s="18"/>
      <c r="H210" s="34"/>
      <c r="I210" s="34"/>
      <c r="J210" s="34"/>
    </row>
    <row r="211" spans="1:10">
      <c r="A211" s="49"/>
      <c r="B211" s="50"/>
      <c r="C211" s="18"/>
      <c r="D211" s="18"/>
      <c r="E211" s="18"/>
      <c r="F211" s="58"/>
      <c r="G211" s="18"/>
      <c r="H211" s="34"/>
      <c r="I211" s="34"/>
      <c r="J211" s="34"/>
    </row>
    <row r="212" spans="1:10">
      <c r="A212" s="49"/>
      <c r="B212" s="50"/>
      <c r="C212" s="18"/>
      <c r="D212" s="18"/>
      <c r="E212" s="18"/>
      <c r="F212" s="58"/>
      <c r="G212" s="18"/>
      <c r="H212" s="34"/>
      <c r="I212" s="34"/>
      <c r="J212" s="34"/>
    </row>
    <row r="213" spans="1:10">
      <c r="A213" s="49"/>
      <c r="B213" s="50"/>
      <c r="C213" s="18"/>
      <c r="D213" s="18"/>
      <c r="E213" s="18"/>
      <c r="F213" s="58"/>
      <c r="G213" s="18"/>
      <c r="H213" s="34"/>
      <c r="I213" s="34"/>
      <c r="J213" s="34"/>
    </row>
    <row r="214" spans="1:10">
      <c r="A214" s="49"/>
      <c r="B214" s="50"/>
      <c r="C214" s="18"/>
      <c r="D214" s="18"/>
      <c r="E214" s="18"/>
      <c r="F214" s="58"/>
      <c r="G214" s="18"/>
      <c r="H214" s="34"/>
      <c r="I214" s="34"/>
      <c r="J214" s="34"/>
    </row>
    <row r="215" spans="1:10">
      <c r="A215" s="49"/>
      <c r="B215" s="50"/>
      <c r="C215" s="18"/>
      <c r="D215" s="18"/>
      <c r="E215" s="18"/>
      <c r="F215" s="58"/>
      <c r="G215" s="18"/>
      <c r="H215" s="34"/>
      <c r="I215" s="34"/>
      <c r="J215" s="34"/>
    </row>
    <row r="216" spans="1:10">
      <c r="A216" s="49"/>
      <c r="B216" s="50"/>
      <c r="C216" s="18"/>
      <c r="D216" s="18"/>
      <c r="E216" s="18"/>
      <c r="F216" s="58"/>
      <c r="G216" s="18"/>
      <c r="H216" s="34"/>
      <c r="I216" s="34"/>
      <c r="J216" s="34"/>
    </row>
    <row r="217" spans="1:10">
      <c r="A217" s="49"/>
      <c r="B217" s="50"/>
      <c r="C217" s="18"/>
      <c r="D217" s="18"/>
      <c r="E217" s="18"/>
      <c r="F217" s="58"/>
      <c r="G217" s="18"/>
      <c r="H217" s="34"/>
      <c r="I217" s="34"/>
      <c r="J217" s="34"/>
    </row>
    <row r="218" spans="1:10">
      <c r="A218" s="49"/>
      <c r="B218" s="50"/>
      <c r="C218" s="18"/>
      <c r="D218" s="18"/>
      <c r="E218" s="18"/>
      <c r="F218" s="58"/>
      <c r="G218" s="18"/>
      <c r="H218" s="34"/>
      <c r="I218" s="34"/>
      <c r="J218" s="34"/>
    </row>
    <row r="219" spans="1:10">
      <c r="A219" s="49"/>
      <c r="B219" s="50"/>
      <c r="C219" s="18"/>
      <c r="D219" s="18"/>
      <c r="E219" s="18"/>
      <c r="F219" s="58"/>
      <c r="G219" s="18"/>
      <c r="H219" s="34"/>
      <c r="I219" s="34"/>
      <c r="J219" s="34"/>
    </row>
    <row r="220" spans="1:10">
      <c r="A220" s="49"/>
      <c r="B220" s="50"/>
      <c r="C220" s="18"/>
      <c r="D220" s="18"/>
      <c r="E220" s="18"/>
      <c r="F220" s="58"/>
      <c r="G220" s="18"/>
      <c r="H220" s="34"/>
      <c r="I220" s="34"/>
      <c r="J220" s="34"/>
    </row>
    <row r="221" spans="1:10">
      <c r="A221" s="49"/>
      <c r="B221" s="50"/>
      <c r="C221" s="18"/>
      <c r="D221" s="18"/>
      <c r="E221" s="18"/>
      <c r="F221" s="58"/>
      <c r="G221" s="18"/>
      <c r="H221" s="34"/>
      <c r="I221" s="34"/>
      <c r="J221" s="34"/>
    </row>
    <row r="222" spans="1:10">
      <c r="A222" s="49"/>
      <c r="B222" s="50"/>
      <c r="C222" s="18"/>
      <c r="D222" s="18"/>
      <c r="E222" s="18"/>
      <c r="F222" s="58"/>
      <c r="G222" s="18"/>
      <c r="H222" s="34"/>
      <c r="I222" s="34"/>
      <c r="J222" s="34"/>
    </row>
    <row r="223" spans="1:10">
      <c r="A223" s="49"/>
      <c r="B223" s="50"/>
      <c r="C223" s="18"/>
      <c r="D223" s="18"/>
      <c r="E223" s="18"/>
      <c r="F223" s="58"/>
      <c r="G223" s="18"/>
      <c r="H223" s="34"/>
      <c r="I223" s="34"/>
      <c r="J223" s="34"/>
    </row>
    <row r="224" spans="1:10">
      <c r="A224" s="49"/>
      <c r="B224" s="50"/>
      <c r="C224" s="18"/>
      <c r="D224" s="18"/>
      <c r="E224" s="18"/>
      <c r="F224" s="58"/>
      <c r="G224" s="18"/>
      <c r="H224" s="34"/>
      <c r="I224" s="34"/>
      <c r="J224" s="34"/>
    </row>
    <row r="225" spans="1:10">
      <c r="A225" s="49"/>
      <c r="B225" s="50"/>
      <c r="C225" s="18"/>
      <c r="D225" s="18"/>
      <c r="E225" s="18"/>
      <c r="F225" s="58"/>
      <c r="G225" s="18"/>
      <c r="H225" s="34"/>
      <c r="I225" s="34"/>
      <c r="J225" s="34"/>
    </row>
    <row r="226" spans="1:10">
      <c r="A226" s="49"/>
      <c r="B226" s="50"/>
      <c r="C226" s="18"/>
      <c r="D226" s="18"/>
      <c r="E226" s="18"/>
      <c r="F226" s="58"/>
      <c r="G226" s="18"/>
      <c r="H226" s="34"/>
      <c r="I226" s="34"/>
      <c r="J226" s="34"/>
    </row>
    <row r="227" spans="1:10">
      <c r="A227" s="49"/>
      <c r="B227" s="50"/>
      <c r="C227" s="18"/>
      <c r="D227" s="18"/>
      <c r="E227" s="18"/>
      <c r="F227" s="58"/>
      <c r="G227" s="18"/>
      <c r="H227" s="34"/>
      <c r="I227" s="34"/>
      <c r="J227" s="34"/>
    </row>
    <row r="228" spans="1:10">
      <c r="A228" s="49"/>
      <c r="B228" s="50"/>
      <c r="C228" s="18"/>
      <c r="D228" s="18"/>
      <c r="E228" s="18"/>
      <c r="F228" s="58"/>
      <c r="G228" s="18"/>
      <c r="H228" s="34"/>
      <c r="I228" s="34"/>
      <c r="J228" s="34"/>
    </row>
    <row r="229" spans="1:10">
      <c r="A229" s="49"/>
      <c r="B229" s="50"/>
      <c r="C229" s="18"/>
      <c r="D229" s="18"/>
      <c r="E229" s="18"/>
      <c r="F229" s="58"/>
      <c r="G229" s="18"/>
      <c r="H229" s="34"/>
      <c r="I229" s="34"/>
      <c r="J229" s="34"/>
    </row>
    <row r="230" spans="1:10">
      <c r="A230" s="49"/>
      <c r="B230" s="50"/>
      <c r="C230" s="18"/>
      <c r="D230" s="18"/>
      <c r="E230" s="18"/>
      <c r="F230" s="58"/>
      <c r="G230" s="18"/>
      <c r="H230" s="34"/>
      <c r="I230" s="34"/>
      <c r="J230" s="34"/>
    </row>
    <row r="231" spans="1:10">
      <c r="A231" s="49"/>
      <c r="B231" s="50"/>
      <c r="C231" s="18"/>
      <c r="D231" s="18"/>
      <c r="E231" s="18"/>
      <c r="F231" s="58"/>
      <c r="G231" s="18"/>
      <c r="H231" s="34"/>
      <c r="I231" s="34"/>
      <c r="J231" s="34"/>
    </row>
    <row r="232" spans="1:10">
      <c r="A232" s="49"/>
      <c r="B232" s="50"/>
      <c r="C232" s="18"/>
      <c r="D232" s="18"/>
      <c r="E232" s="18"/>
      <c r="F232" s="58"/>
      <c r="G232" s="18"/>
      <c r="H232" s="34"/>
      <c r="I232" s="34"/>
      <c r="J232" s="34"/>
    </row>
    <row r="233" spans="1:10">
      <c r="A233" s="49"/>
      <c r="B233" s="50"/>
      <c r="C233" s="18"/>
      <c r="D233" s="18"/>
      <c r="E233" s="18"/>
      <c r="F233" s="58"/>
      <c r="G233" s="18"/>
      <c r="H233" s="34"/>
      <c r="I233" s="34"/>
      <c r="J233" s="34"/>
    </row>
    <row r="234" spans="1:10">
      <c r="A234" s="49"/>
      <c r="B234" s="50"/>
      <c r="C234" s="18"/>
      <c r="D234" s="18"/>
      <c r="E234" s="18"/>
      <c r="F234" s="58"/>
      <c r="G234" s="18"/>
      <c r="H234" s="34"/>
      <c r="I234" s="34"/>
      <c r="J234" s="34"/>
    </row>
    <row r="235" spans="1:10">
      <c r="A235" s="49"/>
      <c r="B235" s="50"/>
      <c r="C235" s="18"/>
      <c r="D235" s="18"/>
      <c r="E235" s="18"/>
      <c r="F235" s="58"/>
      <c r="G235" s="18"/>
      <c r="H235" s="34"/>
      <c r="I235" s="34"/>
      <c r="J235" s="34"/>
    </row>
    <row r="236" spans="1:10">
      <c r="A236" s="49"/>
      <c r="B236" s="50"/>
      <c r="C236" s="18"/>
      <c r="D236" s="18"/>
      <c r="E236" s="18"/>
      <c r="F236" s="58"/>
      <c r="G236" s="18"/>
      <c r="H236" s="34"/>
      <c r="I236" s="34"/>
      <c r="J236" s="34"/>
    </row>
    <row r="237" spans="1:10">
      <c r="A237" s="49"/>
      <c r="B237" s="50"/>
      <c r="C237" s="18"/>
      <c r="D237" s="18"/>
      <c r="E237" s="18"/>
      <c r="F237" s="58"/>
      <c r="G237" s="18"/>
      <c r="H237" s="34"/>
      <c r="I237" s="34"/>
      <c r="J237" s="34"/>
    </row>
    <row r="238" spans="1:10">
      <c r="A238" s="49"/>
      <c r="B238" s="50"/>
      <c r="C238" s="18"/>
      <c r="D238" s="18"/>
      <c r="E238" s="18"/>
      <c r="F238" s="58"/>
      <c r="G238" s="18"/>
      <c r="H238" s="34"/>
      <c r="I238" s="34"/>
      <c r="J238" s="34"/>
    </row>
    <row r="239" spans="1:10">
      <c r="A239" s="49"/>
      <c r="B239" s="50"/>
      <c r="C239" s="18"/>
      <c r="D239" s="18"/>
      <c r="E239" s="18"/>
      <c r="F239" s="58"/>
      <c r="G239" s="18"/>
      <c r="H239" s="34"/>
      <c r="I239" s="34"/>
      <c r="J239" s="34"/>
    </row>
    <row r="240" spans="1:10">
      <c r="A240" s="49"/>
      <c r="B240" s="50"/>
      <c r="C240" s="18"/>
      <c r="D240" s="18"/>
      <c r="E240" s="18"/>
      <c r="F240" s="58"/>
      <c r="G240" s="18"/>
      <c r="H240" s="34"/>
      <c r="I240" s="34"/>
      <c r="J240" s="34"/>
    </row>
    <row r="241" spans="1:10">
      <c r="A241" s="49"/>
      <c r="B241" s="50"/>
      <c r="C241" s="18"/>
      <c r="D241" s="18"/>
      <c r="E241" s="18"/>
      <c r="F241" s="58"/>
      <c r="G241" s="18"/>
      <c r="H241" s="34"/>
      <c r="I241" s="34"/>
      <c r="J241" s="34"/>
    </row>
    <row r="242" spans="1:10">
      <c r="A242" s="49"/>
      <c r="B242" s="50"/>
      <c r="C242" s="18"/>
      <c r="D242" s="18"/>
      <c r="E242" s="18"/>
      <c r="F242" s="58"/>
      <c r="G242" s="18"/>
      <c r="H242" s="34"/>
      <c r="I242" s="34"/>
      <c r="J242" s="34"/>
    </row>
    <row r="243" spans="1:10">
      <c r="A243" s="49"/>
      <c r="B243" s="50"/>
      <c r="C243" s="18"/>
      <c r="D243" s="18"/>
      <c r="E243" s="18"/>
      <c r="F243" s="58"/>
      <c r="G243" s="18"/>
      <c r="H243" s="34"/>
      <c r="I243" s="34"/>
      <c r="J243" s="34"/>
    </row>
    <row r="244" spans="1:10">
      <c r="A244" s="49"/>
      <c r="B244" s="50"/>
      <c r="C244" s="18"/>
      <c r="D244" s="18"/>
      <c r="E244" s="18"/>
      <c r="F244" s="58"/>
      <c r="G244" s="18"/>
      <c r="H244" s="34"/>
      <c r="I244" s="34"/>
      <c r="J244" s="34"/>
    </row>
    <row r="245" spans="1:10">
      <c r="A245" s="49"/>
      <c r="B245" s="50"/>
      <c r="C245" s="18"/>
      <c r="D245" s="18"/>
      <c r="E245" s="18"/>
      <c r="F245" s="58"/>
      <c r="G245" s="18"/>
      <c r="H245" s="34"/>
      <c r="I245" s="34"/>
      <c r="J245" s="34"/>
    </row>
    <row r="246" spans="1:10">
      <c r="A246" s="49"/>
      <c r="B246" s="50"/>
      <c r="C246" s="18"/>
      <c r="D246" s="18"/>
      <c r="E246" s="18"/>
      <c r="F246" s="58"/>
      <c r="G246" s="18"/>
      <c r="H246" s="34"/>
      <c r="I246" s="34"/>
      <c r="J246" s="34"/>
    </row>
    <row r="247" spans="1:10">
      <c r="A247" s="49"/>
      <c r="B247" s="50"/>
      <c r="C247" s="18"/>
      <c r="D247" s="18"/>
      <c r="E247" s="18"/>
      <c r="F247" s="58"/>
      <c r="G247" s="18"/>
      <c r="H247" s="34"/>
      <c r="I247" s="34"/>
      <c r="J247" s="34"/>
    </row>
    <row r="248" spans="1:10">
      <c r="A248" s="49"/>
      <c r="B248" s="50"/>
      <c r="C248" s="18"/>
      <c r="D248" s="18"/>
      <c r="E248" s="18"/>
      <c r="F248" s="58"/>
      <c r="G248" s="18"/>
      <c r="H248" s="34"/>
      <c r="I248" s="34"/>
      <c r="J248" s="34"/>
    </row>
    <row r="249" spans="1:10">
      <c r="A249" s="49"/>
      <c r="B249" s="50"/>
      <c r="C249" s="18"/>
      <c r="D249" s="18"/>
      <c r="E249" s="18"/>
      <c r="F249" s="58"/>
      <c r="G249" s="18"/>
      <c r="H249" s="34"/>
      <c r="I249" s="34"/>
      <c r="J249" s="34"/>
    </row>
    <row r="250" spans="1:10">
      <c r="A250" s="49"/>
      <c r="B250" s="50"/>
      <c r="C250" s="18"/>
      <c r="D250" s="18"/>
      <c r="E250" s="18"/>
      <c r="F250" s="58"/>
      <c r="G250" s="18"/>
      <c r="H250" s="34"/>
      <c r="I250" s="34"/>
      <c r="J250" s="34"/>
    </row>
    <row r="251" spans="1:10">
      <c r="A251" s="49"/>
      <c r="B251" s="50"/>
      <c r="C251" s="18"/>
      <c r="D251" s="18"/>
      <c r="E251" s="18"/>
      <c r="F251" s="58"/>
      <c r="G251" s="18"/>
      <c r="H251" s="34"/>
      <c r="I251" s="34"/>
      <c r="J251" s="34"/>
    </row>
    <row r="252" spans="1:10">
      <c r="A252" s="49"/>
      <c r="B252" s="50"/>
      <c r="C252" s="18"/>
      <c r="D252" s="18"/>
      <c r="E252" s="18"/>
      <c r="F252" s="58"/>
      <c r="G252" s="18"/>
      <c r="H252" s="34"/>
      <c r="I252" s="34"/>
      <c r="J252" s="34"/>
    </row>
    <row r="253" spans="1:10">
      <c r="A253" s="49"/>
      <c r="B253" s="50"/>
      <c r="C253" s="18"/>
      <c r="D253" s="18"/>
      <c r="E253" s="18"/>
      <c r="F253" s="58"/>
      <c r="G253" s="18"/>
      <c r="H253" s="34"/>
      <c r="I253" s="34"/>
      <c r="J253" s="34"/>
    </row>
    <row r="254" spans="1:10">
      <c r="A254" s="49"/>
      <c r="B254" s="50"/>
      <c r="C254" s="18"/>
      <c r="D254" s="18"/>
      <c r="E254" s="18"/>
      <c r="F254" s="58"/>
      <c r="G254" s="18"/>
      <c r="H254" s="34"/>
      <c r="I254" s="34"/>
      <c r="J254" s="34"/>
    </row>
    <row r="255" spans="1:10">
      <c r="A255" s="49"/>
      <c r="B255" s="50"/>
      <c r="C255" s="18"/>
      <c r="D255" s="18"/>
      <c r="E255" s="18"/>
      <c r="F255" s="58"/>
      <c r="G255" s="18"/>
      <c r="H255" s="34"/>
      <c r="I255" s="34"/>
      <c r="J255" s="34"/>
    </row>
    <row r="256" spans="1:10">
      <c r="A256" s="49"/>
      <c r="B256" s="50"/>
      <c r="C256" s="18"/>
      <c r="D256" s="18"/>
      <c r="E256" s="18"/>
      <c r="F256" s="58"/>
      <c r="G256" s="18"/>
      <c r="H256" s="34"/>
      <c r="I256" s="34"/>
      <c r="J256" s="34"/>
    </row>
    <row r="257" spans="1:10">
      <c r="A257" s="49"/>
      <c r="B257" s="50"/>
      <c r="C257" s="18"/>
      <c r="D257" s="18"/>
      <c r="E257" s="18"/>
      <c r="F257" s="58"/>
      <c r="G257" s="18"/>
      <c r="H257" s="34"/>
      <c r="I257" s="34"/>
      <c r="J257" s="34"/>
    </row>
    <row r="258" spans="1:10">
      <c r="A258" s="49"/>
      <c r="B258" s="50"/>
      <c r="C258" s="18"/>
      <c r="D258" s="18"/>
      <c r="E258" s="18"/>
      <c r="F258" s="58"/>
      <c r="G258" s="18"/>
      <c r="H258" s="34"/>
      <c r="I258" s="34"/>
      <c r="J258" s="34"/>
    </row>
    <row r="259" spans="1:10">
      <c r="A259" s="49"/>
      <c r="B259" s="50"/>
      <c r="C259" s="18"/>
      <c r="D259" s="18"/>
      <c r="E259" s="18"/>
      <c r="F259" s="58"/>
      <c r="G259" s="18"/>
      <c r="H259" s="34"/>
      <c r="I259" s="34"/>
      <c r="J259" s="34"/>
    </row>
    <row r="260" spans="1:10">
      <c r="A260" s="49"/>
      <c r="B260" s="50"/>
      <c r="C260" s="18"/>
      <c r="D260" s="18"/>
      <c r="E260" s="18"/>
      <c r="F260" s="58"/>
      <c r="G260" s="18"/>
      <c r="H260" s="34"/>
      <c r="I260" s="34"/>
      <c r="J260" s="34"/>
    </row>
    <row r="261" spans="1:10">
      <c r="A261" s="49"/>
      <c r="B261" s="50"/>
      <c r="C261" s="18"/>
      <c r="D261" s="18"/>
      <c r="E261" s="18"/>
      <c r="F261" s="58"/>
      <c r="G261" s="18"/>
      <c r="H261" s="34"/>
      <c r="I261" s="34"/>
      <c r="J261" s="34"/>
    </row>
    <row r="262" spans="1:10">
      <c r="A262" s="49"/>
      <c r="B262" s="50"/>
      <c r="C262" s="18"/>
      <c r="D262" s="18"/>
      <c r="E262" s="18"/>
      <c r="F262" s="58"/>
      <c r="G262" s="18"/>
      <c r="H262" s="34"/>
      <c r="I262" s="34"/>
      <c r="J262" s="34"/>
    </row>
    <row r="263" spans="1:10">
      <c r="A263" s="49"/>
      <c r="B263" s="50"/>
      <c r="C263" s="18"/>
      <c r="D263" s="18"/>
      <c r="E263" s="18"/>
      <c r="F263" s="58"/>
      <c r="G263" s="18"/>
      <c r="H263" s="34"/>
      <c r="I263" s="34"/>
      <c r="J263" s="34"/>
    </row>
    <row r="264" spans="1:10">
      <c r="A264" s="49"/>
      <c r="B264" s="50"/>
      <c r="C264" s="18"/>
      <c r="D264" s="18"/>
      <c r="E264" s="18"/>
      <c r="F264" s="58"/>
      <c r="G264" s="18"/>
      <c r="H264" s="34"/>
      <c r="I264" s="34"/>
      <c r="J264" s="34"/>
    </row>
    <row r="265" spans="1:10">
      <c r="A265" s="49"/>
      <c r="B265" s="50"/>
      <c r="C265" s="18"/>
      <c r="D265" s="18"/>
      <c r="E265" s="18"/>
      <c r="F265" s="58"/>
      <c r="G265" s="18"/>
      <c r="H265" s="34"/>
      <c r="I265" s="34"/>
      <c r="J265" s="34"/>
    </row>
    <row r="266" spans="1:10">
      <c r="A266" s="49"/>
      <c r="B266" s="50"/>
      <c r="C266" s="18"/>
      <c r="D266" s="18"/>
      <c r="E266" s="18"/>
      <c r="F266" s="58"/>
      <c r="G266" s="18"/>
      <c r="H266" s="34"/>
      <c r="I266" s="34"/>
      <c r="J266" s="34"/>
    </row>
    <row r="267" spans="1:10">
      <c r="A267" s="49"/>
      <c r="B267" s="50"/>
      <c r="C267" s="18"/>
      <c r="D267" s="18"/>
      <c r="E267" s="18"/>
      <c r="F267" s="58"/>
      <c r="G267" s="18"/>
      <c r="H267" s="34"/>
      <c r="I267" s="34"/>
      <c r="J267" s="34"/>
    </row>
    <row r="268" spans="1:10">
      <c r="A268" s="49"/>
      <c r="B268" s="50"/>
      <c r="C268" s="18"/>
      <c r="D268" s="18"/>
      <c r="E268" s="18"/>
      <c r="F268" s="58"/>
      <c r="G268" s="18"/>
      <c r="H268" s="34"/>
      <c r="I268" s="34"/>
      <c r="J268" s="34"/>
    </row>
    <row r="269" spans="1:10">
      <c r="A269" s="49"/>
      <c r="B269" s="50"/>
      <c r="C269" s="18"/>
      <c r="D269" s="18"/>
      <c r="E269" s="18"/>
      <c r="F269" s="58"/>
      <c r="G269" s="18"/>
      <c r="H269" s="34"/>
      <c r="I269" s="34"/>
      <c r="J269" s="34"/>
    </row>
    <row r="270" spans="1:10">
      <c r="A270" s="49"/>
      <c r="B270" s="50"/>
      <c r="C270" s="18"/>
      <c r="D270" s="18"/>
      <c r="E270" s="18"/>
      <c r="F270" s="58"/>
      <c r="G270" s="18"/>
      <c r="H270" s="34"/>
      <c r="I270" s="34"/>
      <c r="J270" s="34"/>
    </row>
    <row r="271" spans="1:10">
      <c r="A271" s="49"/>
      <c r="B271" s="50"/>
      <c r="C271" s="18"/>
      <c r="D271" s="18"/>
      <c r="E271" s="18"/>
      <c r="F271" s="58"/>
      <c r="G271" s="18"/>
      <c r="H271" s="34"/>
      <c r="I271" s="34"/>
      <c r="J271" s="34"/>
    </row>
    <row r="272" spans="1:10">
      <c r="A272" s="49"/>
      <c r="B272" s="50"/>
      <c r="C272" s="18"/>
      <c r="D272" s="18"/>
      <c r="E272" s="18"/>
      <c r="F272" s="58"/>
      <c r="G272" s="18"/>
      <c r="H272" s="34"/>
      <c r="I272" s="34"/>
      <c r="J272" s="34"/>
    </row>
    <row r="273" spans="1:10">
      <c r="A273" s="49"/>
      <c r="B273" s="50"/>
      <c r="C273" s="18"/>
      <c r="D273" s="18"/>
      <c r="E273" s="18"/>
      <c r="F273" s="58"/>
      <c r="G273" s="18"/>
      <c r="H273" s="34"/>
      <c r="I273" s="34"/>
      <c r="J273" s="34"/>
    </row>
    <row r="274" spans="1:10">
      <c r="A274" s="49"/>
      <c r="B274" s="50"/>
      <c r="C274" s="18"/>
      <c r="D274" s="18"/>
      <c r="E274" s="18"/>
      <c r="F274" s="58"/>
      <c r="G274" s="18"/>
      <c r="H274" s="34"/>
      <c r="I274" s="34"/>
      <c r="J274" s="34"/>
    </row>
    <row r="275" spans="1:10">
      <c r="A275" s="49"/>
      <c r="B275" s="50"/>
      <c r="C275" s="18"/>
      <c r="D275" s="18"/>
      <c r="E275" s="18"/>
      <c r="F275" s="58"/>
      <c r="G275" s="18"/>
      <c r="H275" s="34"/>
      <c r="I275" s="34"/>
      <c r="J275" s="34"/>
    </row>
    <row r="276" spans="1:10">
      <c r="A276" s="49"/>
      <c r="B276" s="50"/>
      <c r="C276" s="18"/>
      <c r="D276" s="18"/>
      <c r="E276" s="18"/>
      <c r="F276" s="58"/>
      <c r="G276" s="18"/>
      <c r="H276" s="34"/>
      <c r="I276" s="34"/>
      <c r="J276" s="34"/>
    </row>
    <row r="277" spans="1:10">
      <c r="A277" s="49"/>
      <c r="B277" s="50"/>
      <c r="C277" s="18"/>
      <c r="D277" s="18"/>
      <c r="E277" s="18"/>
      <c r="F277" s="58"/>
      <c r="G277" s="18"/>
      <c r="H277" s="34"/>
      <c r="I277" s="34"/>
      <c r="J277" s="34"/>
    </row>
    <row r="278" spans="1:10">
      <c r="A278" s="49"/>
      <c r="B278" s="50"/>
      <c r="C278" s="18"/>
      <c r="D278" s="18"/>
      <c r="E278" s="18"/>
      <c r="F278" s="58"/>
      <c r="G278" s="18"/>
      <c r="H278" s="34"/>
      <c r="I278" s="34"/>
      <c r="J278" s="34"/>
    </row>
    <row r="279" spans="1:10">
      <c r="A279" s="49"/>
      <c r="B279" s="50"/>
      <c r="C279" s="18"/>
      <c r="D279" s="18"/>
      <c r="E279" s="18"/>
      <c r="F279" s="58"/>
      <c r="G279" s="18"/>
      <c r="H279" s="34"/>
      <c r="I279" s="34"/>
      <c r="J279" s="34"/>
    </row>
    <row r="280" spans="1:10">
      <c r="A280" s="49"/>
      <c r="B280" s="50"/>
      <c r="C280" s="18"/>
      <c r="D280" s="18"/>
      <c r="E280" s="18"/>
      <c r="F280" s="58"/>
      <c r="G280" s="18"/>
      <c r="H280" s="34"/>
      <c r="I280" s="34"/>
      <c r="J280" s="34"/>
    </row>
    <row r="281" spans="1:10">
      <c r="A281" s="49"/>
      <c r="B281" s="50"/>
      <c r="C281" s="18"/>
      <c r="D281" s="18"/>
      <c r="E281" s="18"/>
      <c r="F281" s="58"/>
      <c r="G281" s="18"/>
      <c r="H281" s="34"/>
      <c r="I281" s="34"/>
      <c r="J281" s="34"/>
    </row>
    <row r="282" spans="1:10">
      <c r="A282" s="49"/>
      <c r="B282" s="50"/>
      <c r="C282" s="18"/>
      <c r="D282" s="18"/>
      <c r="E282" s="18"/>
      <c r="F282" s="58"/>
      <c r="G282" s="18"/>
      <c r="H282" s="34"/>
      <c r="I282" s="34"/>
      <c r="J282" s="34"/>
    </row>
    <row r="283" spans="1:10">
      <c r="A283" s="49"/>
      <c r="B283" s="50"/>
      <c r="C283" s="18"/>
      <c r="D283" s="18"/>
      <c r="E283" s="18"/>
      <c r="F283" s="58"/>
      <c r="G283" s="18"/>
      <c r="H283" s="34"/>
      <c r="I283" s="34"/>
      <c r="J283" s="34"/>
    </row>
    <row r="284" spans="1:10">
      <c r="A284" s="49"/>
      <c r="B284" s="50"/>
      <c r="C284" s="18"/>
      <c r="D284" s="18"/>
      <c r="E284" s="18"/>
      <c r="F284" s="58"/>
      <c r="G284" s="18"/>
      <c r="H284" s="34"/>
      <c r="I284" s="34"/>
      <c r="J284" s="34"/>
    </row>
    <row r="285" spans="1:10">
      <c r="A285" s="49"/>
      <c r="B285" s="50"/>
      <c r="C285" s="18"/>
      <c r="D285" s="18"/>
      <c r="E285" s="18"/>
      <c r="F285" s="58"/>
      <c r="G285" s="18"/>
      <c r="H285" s="34"/>
      <c r="I285" s="34"/>
      <c r="J285" s="34"/>
    </row>
    <row r="286" spans="1:10">
      <c r="A286" s="49"/>
      <c r="B286" s="50"/>
      <c r="C286" s="18"/>
      <c r="D286" s="18"/>
      <c r="E286" s="18"/>
      <c r="F286" s="58"/>
      <c r="G286" s="18"/>
      <c r="H286" s="34"/>
      <c r="I286" s="34"/>
      <c r="J286" s="34"/>
    </row>
    <row r="287" spans="1:10">
      <c r="A287" s="49"/>
      <c r="B287" s="50"/>
      <c r="C287" s="18"/>
      <c r="D287" s="18"/>
      <c r="E287" s="18"/>
      <c r="F287" s="58"/>
      <c r="G287" s="18"/>
      <c r="H287" s="34"/>
      <c r="I287" s="34"/>
      <c r="J287" s="34"/>
    </row>
    <row r="288" spans="1:10">
      <c r="A288" s="49"/>
      <c r="B288" s="50"/>
      <c r="C288" s="18"/>
      <c r="D288" s="18"/>
      <c r="E288" s="18"/>
      <c r="F288" s="58"/>
      <c r="G288" s="18"/>
      <c r="H288" s="34"/>
      <c r="I288" s="34"/>
      <c r="J288" s="34"/>
    </row>
    <row r="289" spans="1:10">
      <c r="A289" s="49"/>
      <c r="B289" s="50"/>
      <c r="C289" s="18"/>
      <c r="D289" s="18"/>
      <c r="E289" s="18"/>
      <c r="F289" s="58"/>
      <c r="G289" s="18"/>
      <c r="H289" s="34"/>
      <c r="I289" s="34"/>
      <c r="J289" s="34"/>
    </row>
    <row r="290" spans="1:10">
      <c r="A290" s="49"/>
      <c r="B290" s="50"/>
      <c r="C290" s="18"/>
      <c r="D290" s="18"/>
      <c r="E290" s="18"/>
      <c r="F290" s="58"/>
      <c r="G290" s="18"/>
      <c r="H290" s="34"/>
      <c r="I290" s="34"/>
      <c r="J290" s="34"/>
    </row>
    <row r="291" spans="1:10">
      <c r="A291" s="49"/>
      <c r="B291" s="50"/>
      <c r="C291" s="18"/>
      <c r="D291" s="18"/>
      <c r="E291" s="18"/>
      <c r="F291" s="58"/>
      <c r="G291" s="18"/>
      <c r="H291" s="34"/>
      <c r="I291" s="34"/>
      <c r="J291" s="34"/>
    </row>
    <row r="292" spans="1:10">
      <c r="A292" s="49"/>
      <c r="B292" s="50"/>
      <c r="C292" s="18"/>
      <c r="D292" s="18"/>
      <c r="E292" s="18"/>
      <c r="F292" s="58"/>
      <c r="G292" s="18"/>
      <c r="H292" s="34"/>
      <c r="I292" s="34"/>
      <c r="J292" s="34"/>
    </row>
    <row r="293" spans="1:10">
      <c r="A293" s="49"/>
      <c r="B293" s="50"/>
      <c r="C293" s="18"/>
      <c r="D293" s="18"/>
      <c r="E293" s="18"/>
      <c r="F293" s="58"/>
      <c r="G293" s="18"/>
      <c r="H293" s="34"/>
      <c r="I293" s="34"/>
      <c r="J293" s="34"/>
    </row>
    <row r="294" spans="1:10">
      <c r="A294" s="49"/>
      <c r="B294" s="50"/>
      <c r="C294" s="18"/>
      <c r="D294" s="18"/>
      <c r="E294" s="18"/>
      <c r="F294" s="58"/>
      <c r="G294" s="18"/>
      <c r="H294" s="34"/>
      <c r="I294" s="34"/>
      <c r="J294" s="34"/>
    </row>
    <row r="295" spans="1:10">
      <c r="A295" s="49"/>
      <c r="B295" s="50"/>
      <c r="C295" s="18"/>
      <c r="D295" s="18"/>
      <c r="E295" s="18"/>
      <c r="F295" s="58"/>
      <c r="G295" s="18"/>
      <c r="H295" s="34"/>
      <c r="I295" s="34"/>
      <c r="J295" s="34"/>
    </row>
    <row r="296" spans="1:10">
      <c r="A296" s="49"/>
      <c r="B296" s="50"/>
      <c r="C296" s="18"/>
      <c r="D296" s="18"/>
      <c r="E296" s="18"/>
      <c r="F296" s="58"/>
      <c r="G296" s="18"/>
      <c r="H296" s="34"/>
      <c r="I296" s="34"/>
      <c r="J296" s="34"/>
    </row>
    <row r="297" spans="1:10">
      <c r="A297" s="49"/>
      <c r="B297" s="50"/>
      <c r="C297" s="18"/>
      <c r="D297" s="18"/>
      <c r="E297" s="18"/>
      <c r="F297" s="58"/>
      <c r="G297" s="18"/>
      <c r="H297" s="34"/>
      <c r="I297" s="34"/>
      <c r="J297" s="34"/>
    </row>
    <row r="298" spans="1:10">
      <c r="A298" s="49"/>
      <c r="B298" s="50"/>
      <c r="C298" s="18"/>
      <c r="D298" s="18"/>
      <c r="E298" s="18"/>
      <c r="F298" s="58"/>
      <c r="G298" s="18"/>
      <c r="H298" s="34"/>
      <c r="I298" s="34"/>
      <c r="J298" s="34"/>
    </row>
    <row r="299" spans="1:10">
      <c r="A299" s="49"/>
      <c r="B299" s="50"/>
      <c r="C299" s="18"/>
      <c r="D299" s="18"/>
      <c r="E299" s="18"/>
      <c r="F299" s="58"/>
      <c r="G299" s="18"/>
      <c r="H299" s="34"/>
      <c r="I299" s="34"/>
      <c r="J299" s="34"/>
    </row>
    <row r="300" spans="1:10">
      <c r="A300" s="49"/>
      <c r="B300" s="50"/>
      <c r="C300" s="18"/>
      <c r="D300" s="18"/>
      <c r="E300" s="18"/>
      <c r="F300" s="58"/>
      <c r="G300" s="18"/>
      <c r="H300" s="34"/>
      <c r="I300" s="34"/>
      <c r="J300" s="34"/>
    </row>
    <row r="301" spans="1:10">
      <c r="A301" s="49"/>
      <c r="B301" s="50"/>
      <c r="C301" s="18"/>
      <c r="D301" s="18"/>
      <c r="E301" s="18"/>
      <c r="F301" s="58"/>
      <c r="G301" s="18"/>
      <c r="H301" s="34"/>
      <c r="I301" s="34"/>
      <c r="J301" s="34"/>
    </row>
    <row r="302" spans="1:10">
      <c r="A302" s="49"/>
      <c r="B302" s="50"/>
      <c r="C302" s="18"/>
      <c r="D302" s="18"/>
      <c r="E302" s="18"/>
      <c r="F302" s="58"/>
      <c r="G302" s="18"/>
      <c r="H302" s="34"/>
      <c r="I302" s="34"/>
      <c r="J302" s="34"/>
    </row>
    <row r="303" spans="1:10">
      <c r="A303" s="49"/>
      <c r="B303" s="50"/>
      <c r="C303" s="18"/>
      <c r="D303" s="18"/>
      <c r="E303" s="18"/>
      <c r="F303" s="58"/>
      <c r="G303" s="18"/>
      <c r="H303" s="34"/>
      <c r="I303" s="34"/>
      <c r="J303" s="34"/>
    </row>
    <row r="304" spans="1:10">
      <c r="A304" s="49"/>
      <c r="B304" s="50"/>
      <c r="C304" s="18"/>
      <c r="D304" s="18"/>
      <c r="E304" s="18"/>
      <c r="F304" s="58"/>
      <c r="G304" s="18"/>
      <c r="H304" s="34"/>
      <c r="I304" s="34"/>
      <c r="J304" s="34"/>
    </row>
    <row r="305" spans="1:10">
      <c r="A305" s="49"/>
      <c r="B305" s="50"/>
      <c r="C305" s="18"/>
      <c r="D305" s="18"/>
      <c r="E305" s="18"/>
      <c r="F305" s="58"/>
      <c r="G305" s="18"/>
      <c r="H305" s="34"/>
      <c r="I305" s="34"/>
      <c r="J305" s="34"/>
    </row>
    <row r="306" spans="1:10">
      <c r="A306" s="49"/>
      <c r="B306" s="50"/>
      <c r="C306" s="18"/>
      <c r="D306" s="18"/>
      <c r="E306" s="18"/>
      <c r="F306" s="58"/>
      <c r="G306" s="18"/>
      <c r="H306" s="34"/>
      <c r="I306" s="34"/>
      <c r="J306" s="34"/>
    </row>
    <row r="307" spans="1:10">
      <c r="A307" s="49"/>
      <c r="B307" s="50"/>
      <c r="C307" s="18"/>
      <c r="D307" s="18"/>
      <c r="E307" s="18"/>
      <c r="F307" s="58"/>
      <c r="G307" s="18"/>
      <c r="H307" s="34"/>
      <c r="I307" s="34"/>
      <c r="J307" s="34"/>
    </row>
    <row r="308" spans="1:10">
      <c r="A308" s="49"/>
      <c r="B308" s="50"/>
      <c r="C308" s="18"/>
      <c r="D308" s="18"/>
      <c r="E308" s="18"/>
      <c r="F308" s="58"/>
      <c r="G308" s="18"/>
      <c r="H308" s="34"/>
      <c r="I308" s="34"/>
      <c r="J308" s="34"/>
    </row>
    <row r="309" spans="1:10">
      <c r="A309" s="49"/>
      <c r="B309" s="50"/>
      <c r="C309" s="18"/>
      <c r="D309" s="18"/>
      <c r="E309" s="18"/>
      <c r="F309" s="58"/>
      <c r="G309" s="18"/>
      <c r="H309" s="34"/>
      <c r="I309" s="34"/>
      <c r="J309" s="34"/>
    </row>
    <row r="310" spans="1:10">
      <c r="A310" s="49"/>
      <c r="B310" s="50"/>
      <c r="C310" s="18"/>
      <c r="D310" s="18"/>
      <c r="E310" s="18"/>
      <c r="F310" s="58"/>
      <c r="G310" s="18"/>
      <c r="H310" s="34"/>
      <c r="I310" s="34"/>
      <c r="J310" s="34"/>
    </row>
    <row r="311" spans="1:10">
      <c r="A311" s="49"/>
      <c r="B311" s="50"/>
      <c r="C311" s="18"/>
      <c r="D311" s="18"/>
      <c r="E311" s="18"/>
      <c r="F311" s="58"/>
      <c r="G311" s="18"/>
      <c r="H311" s="34"/>
      <c r="I311" s="34"/>
      <c r="J311" s="34"/>
    </row>
    <row r="312" spans="1:10">
      <c r="A312" s="49"/>
      <c r="B312" s="50"/>
      <c r="C312" s="18"/>
      <c r="D312" s="18"/>
      <c r="E312" s="18"/>
      <c r="F312" s="58"/>
      <c r="G312" s="18"/>
      <c r="H312" s="34"/>
      <c r="I312" s="34"/>
      <c r="J312" s="34"/>
    </row>
    <row r="313" spans="1:10">
      <c r="A313" s="49"/>
      <c r="B313" s="50"/>
      <c r="C313" s="18"/>
      <c r="D313" s="18"/>
      <c r="E313" s="18"/>
      <c r="F313" s="58"/>
      <c r="G313" s="18"/>
      <c r="H313" s="34"/>
      <c r="I313" s="34"/>
      <c r="J313" s="34"/>
    </row>
    <row r="314" spans="1:10">
      <c r="A314" s="49"/>
      <c r="B314" s="50"/>
      <c r="C314" s="18"/>
      <c r="D314" s="18"/>
      <c r="E314" s="18"/>
      <c r="F314" s="58"/>
      <c r="G314" s="18"/>
      <c r="H314" s="34"/>
      <c r="I314" s="34"/>
      <c r="J314" s="34"/>
    </row>
    <row r="315" spans="1:10">
      <c r="A315" s="49"/>
      <c r="B315" s="50"/>
      <c r="C315" s="18"/>
      <c r="D315" s="18"/>
      <c r="E315" s="18"/>
      <c r="F315" s="58"/>
      <c r="G315" s="18"/>
      <c r="H315" s="34"/>
      <c r="I315" s="34"/>
      <c r="J315" s="34"/>
    </row>
    <row r="316" spans="1:10">
      <c r="A316" s="49"/>
      <c r="B316" s="50"/>
      <c r="C316" s="18"/>
      <c r="D316" s="18"/>
      <c r="E316" s="18"/>
      <c r="F316" s="58"/>
      <c r="G316" s="18"/>
      <c r="H316" s="34"/>
      <c r="I316" s="34"/>
      <c r="J316" s="34"/>
    </row>
    <row r="317" spans="1:10">
      <c r="A317" s="49"/>
      <c r="B317" s="50"/>
      <c r="C317" s="18"/>
      <c r="D317" s="18"/>
      <c r="E317" s="18"/>
      <c r="F317" s="58"/>
      <c r="G317" s="18"/>
      <c r="H317" s="34"/>
      <c r="I317" s="34"/>
      <c r="J317" s="34"/>
    </row>
    <row r="318" spans="1:10">
      <c r="A318" s="49"/>
      <c r="B318" s="50"/>
      <c r="C318" s="18"/>
      <c r="D318" s="18"/>
      <c r="E318" s="18"/>
      <c r="F318" s="58"/>
      <c r="G318" s="18"/>
      <c r="H318" s="34"/>
      <c r="I318" s="34"/>
      <c r="J318" s="34"/>
    </row>
    <row r="319" spans="1:10">
      <c r="A319" s="49"/>
      <c r="B319" s="50"/>
      <c r="C319" s="18"/>
      <c r="D319" s="18"/>
      <c r="E319" s="18"/>
      <c r="F319" s="58"/>
      <c r="G319" s="18"/>
      <c r="H319" s="34"/>
      <c r="I319" s="34"/>
      <c r="J319" s="34"/>
    </row>
    <row r="320" spans="1:10">
      <c r="A320" s="49"/>
      <c r="B320" s="50"/>
      <c r="C320" s="18"/>
      <c r="D320" s="18"/>
      <c r="E320" s="18"/>
      <c r="F320" s="58"/>
      <c r="G320" s="18"/>
      <c r="H320" s="34"/>
      <c r="I320" s="34"/>
      <c r="J320" s="34"/>
    </row>
    <row r="321" spans="1:10">
      <c r="A321" s="49"/>
      <c r="B321" s="50"/>
      <c r="C321" s="18"/>
      <c r="D321" s="18"/>
      <c r="E321" s="18"/>
      <c r="F321" s="58"/>
      <c r="G321" s="18"/>
      <c r="H321" s="34"/>
      <c r="I321" s="34"/>
      <c r="J321" s="34"/>
    </row>
    <row r="322" spans="1:10">
      <c r="A322" s="49"/>
      <c r="B322" s="50"/>
      <c r="C322" s="18"/>
      <c r="D322" s="18"/>
      <c r="E322" s="18"/>
      <c r="F322" s="58"/>
      <c r="G322" s="18"/>
      <c r="H322" s="34"/>
      <c r="I322" s="34"/>
      <c r="J322" s="34"/>
    </row>
    <row r="323" spans="1:10">
      <c r="A323" s="49"/>
      <c r="B323" s="50"/>
      <c r="C323" s="18"/>
      <c r="D323" s="18"/>
      <c r="E323" s="18"/>
      <c r="F323" s="58"/>
      <c r="G323" s="18"/>
      <c r="H323" s="34"/>
      <c r="I323" s="34"/>
      <c r="J323" s="34"/>
    </row>
    <row r="324" spans="1:10">
      <c r="A324" s="49"/>
      <c r="B324" s="50"/>
      <c r="C324" s="18"/>
      <c r="D324" s="18"/>
      <c r="E324" s="18"/>
      <c r="F324" s="58"/>
      <c r="G324" s="18"/>
      <c r="H324" s="34"/>
      <c r="I324" s="34"/>
      <c r="J324" s="34"/>
    </row>
    <row r="325" spans="1:10">
      <c r="A325" s="49"/>
      <c r="B325" s="50"/>
      <c r="C325" s="18"/>
      <c r="D325" s="18"/>
      <c r="E325" s="18"/>
      <c r="F325" s="58"/>
      <c r="G325" s="18"/>
      <c r="H325" s="34"/>
      <c r="I325" s="34"/>
      <c r="J325" s="34"/>
    </row>
    <row r="326" spans="1:10">
      <c r="A326" s="49"/>
      <c r="B326" s="50"/>
      <c r="C326" s="18"/>
      <c r="D326" s="18"/>
      <c r="E326" s="18"/>
      <c r="F326" s="58"/>
      <c r="G326" s="18"/>
      <c r="H326" s="34"/>
      <c r="I326" s="34"/>
      <c r="J326" s="34"/>
    </row>
    <row r="327" spans="1:10">
      <c r="A327" s="49"/>
      <c r="B327" s="50"/>
      <c r="C327" s="18"/>
      <c r="D327" s="18"/>
      <c r="E327" s="18"/>
      <c r="F327" s="58"/>
      <c r="G327" s="18"/>
      <c r="H327" s="34"/>
      <c r="I327" s="34"/>
      <c r="J327" s="34"/>
    </row>
    <row r="328" spans="1:10">
      <c r="A328" s="49"/>
      <c r="B328" s="50"/>
      <c r="C328" s="18"/>
      <c r="D328" s="18"/>
      <c r="E328" s="18"/>
      <c r="F328" s="58"/>
      <c r="G328" s="18"/>
      <c r="H328" s="34"/>
      <c r="I328" s="34"/>
      <c r="J328" s="34"/>
    </row>
    <row r="329" spans="1:10">
      <c r="A329" s="49"/>
      <c r="B329" s="50"/>
      <c r="C329" s="18"/>
      <c r="D329" s="18"/>
      <c r="E329" s="18"/>
      <c r="F329" s="58"/>
      <c r="G329" s="18"/>
      <c r="H329" s="34"/>
      <c r="I329" s="34"/>
      <c r="J329" s="34"/>
    </row>
    <row r="330" spans="1:10">
      <c r="A330" s="49"/>
      <c r="B330" s="50"/>
      <c r="C330" s="18"/>
      <c r="D330" s="18"/>
      <c r="E330" s="18"/>
      <c r="F330" s="58"/>
      <c r="G330" s="18"/>
      <c r="H330" s="34"/>
      <c r="I330" s="34"/>
      <c r="J330" s="34"/>
    </row>
    <row r="331" spans="1:10">
      <c r="A331" s="49"/>
      <c r="B331" s="50"/>
      <c r="C331" s="18"/>
      <c r="D331" s="18"/>
      <c r="E331" s="18"/>
      <c r="F331" s="58"/>
      <c r="G331" s="18"/>
      <c r="H331" s="34"/>
      <c r="I331" s="34"/>
      <c r="J331" s="34"/>
    </row>
    <row r="332" spans="1:10">
      <c r="A332" s="49"/>
      <c r="B332" s="50"/>
      <c r="C332" s="18"/>
      <c r="D332" s="18"/>
      <c r="E332" s="18"/>
      <c r="F332" s="58"/>
      <c r="G332" s="18"/>
      <c r="H332" s="34"/>
      <c r="I332" s="34"/>
      <c r="J332" s="34"/>
    </row>
    <row r="333" spans="1:10">
      <c r="A333" s="49"/>
      <c r="B333" s="50"/>
      <c r="C333" s="18"/>
      <c r="D333" s="18"/>
      <c r="E333" s="18"/>
      <c r="F333" s="58"/>
      <c r="G333" s="18"/>
      <c r="H333" s="34"/>
      <c r="I333" s="34"/>
      <c r="J333" s="34"/>
    </row>
    <row r="334" spans="1:10">
      <c r="A334" s="49"/>
      <c r="B334" s="50"/>
      <c r="C334" s="18"/>
      <c r="D334" s="18"/>
      <c r="E334" s="18"/>
      <c r="F334" s="58"/>
      <c r="G334" s="18"/>
      <c r="H334" s="34"/>
      <c r="I334" s="34"/>
      <c r="J334" s="34"/>
    </row>
    <row r="335" spans="1:10">
      <c r="A335" s="49"/>
      <c r="B335" s="50"/>
      <c r="C335" s="18"/>
      <c r="D335" s="18"/>
      <c r="E335" s="18"/>
      <c r="F335" s="58"/>
      <c r="G335" s="18"/>
      <c r="H335" s="34"/>
      <c r="I335" s="34"/>
      <c r="J335" s="34"/>
    </row>
    <row r="336" spans="1:10">
      <c r="A336" s="49"/>
      <c r="B336" s="50"/>
      <c r="C336" s="18"/>
      <c r="D336" s="18"/>
      <c r="E336" s="18"/>
      <c r="F336" s="58"/>
      <c r="G336" s="18"/>
      <c r="H336" s="34"/>
      <c r="I336" s="34"/>
      <c r="J336" s="34"/>
    </row>
    <row r="337" spans="1:10">
      <c r="A337" s="49"/>
      <c r="B337" s="50"/>
      <c r="C337" s="18"/>
      <c r="D337" s="18"/>
      <c r="E337" s="18"/>
      <c r="F337" s="58"/>
      <c r="G337" s="18"/>
      <c r="H337" s="34"/>
      <c r="I337" s="34"/>
      <c r="J337" s="34"/>
    </row>
    <row r="338" spans="1:10">
      <c r="A338" s="49"/>
      <c r="B338" s="50"/>
      <c r="C338" s="18"/>
      <c r="D338" s="18"/>
      <c r="E338" s="18"/>
      <c r="F338" s="58"/>
      <c r="G338" s="18"/>
      <c r="H338" s="34"/>
      <c r="I338" s="34"/>
      <c r="J338" s="34"/>
    </row>
    <row r="339" spans="1:10">
      <c r="A339" s="49"/>
      <c r="B339" s="50"/>
      <c r="C339" s="18"/>
      <c r="D339" s="18"/>
      <c r="E339" s="18"/>
      <c r="F339" s="58"/>
      <c r="G339" s="18"/>
      <c r="H339" s="34"/>
      <c r="I339" s="34"/>
      <c r="J339" s="34"/>
    </row>
    <row r="340" spans="1:10">
      <c r="A340" s="49"/>
      <c r="B340" s="50"/>
      <c r="C340" s="18"/>
      <c r="D340" s="18"/>
      <c r="E340" s="18"/>
      <c r="F340" s="58"/>
      <c r="G340" s="18"/>
      <c r="H340" s="34"/>
      <c r="I340" s="34"/>
      <c r="J340" s="34"/>
    </row>
    <row r="341" spans="1:10">
      <c r="A341" s="49"/>
      <c r="B341" s="50"/>
      <c r="C341" s="18"/>
      <c r="D341" s="18"/>
      <c r="E341" s="18"/>
      <c r="F341" s="58"/>
      <c r="G341" s="18"/>
      <c r="H341" s="34"/>
      <c r="I341" s="34"/>
      <c r="J341" s="34"/>
    </row>
    <row r="342" spans="1:10">
      <c r="A342" s="49"/>
      <c r="B342" s="50"/>
      <c r="C342" s="18"/>
      <c r="D342" s="18"/>
      <c r="E342" s="18"/>
      <c r="F342" s="58"/>
      <c r="G342" s="18"/>
      <c r="H342" s="34"/>
      <c r="I342" s="34"/>
      <c r="J342" s="34"/>
    </row>
    <row r="343" spans="1:10">
      <c r="A343" s="49"/>
      <c r="B343" s="50"/>
      <c r="C343" s="18"/>
      <c r="D343" s="18"/>
      <c r="E343" s="18"/>
      <c r="F343" s="58"/>
      <c r="G343" s="18"/>
      <c r="H343" s="34"/>
      <c r="I343" s="34"/>
      <c r="J343" s="34"/>
    </row>
    <row r="344" spans="1:10">
      <c r="A344" s="49"/>
      <c r="B344" s="50"/>
      <c r="C344" s="18"/>
      <c r="D344" s="18"/>
      <c r="E344" s="18"/>
      <c r="F344" s="58"/>
      <c r="G344" s="18"/>
      <c r="H344" s="34"/>
      <c r="I344" s="34"/>
      <c r="J344" s="34"/>
    </row>
    <row r="345" spans="1:10">
      <c r="A345" s="49"/>
      <c r="B345" s="50"/>
      <c r="C345" s="18"/>
      <c r="D345" s="18"/>
      <c r="E345" s="18"/>
      <c r="F345" s="58"/>
      <c r="G345" s="18"/>
      <c r="H345" s="34"/>
      <c r="I345" s="34"/>
      <c r="J345" s="34"/>
    </row>
    <row r="346" spans="1:10">
      <c r="A346" s="49"/>
      <c r="B346" s="50"/>
      <c r="C346" s="18"/>
      <c r="D346" s="18"/>
      <c r="E346" s="18"/>
      <c r="F346" s="58"/>
      <c r="G346" s="18"/>
      <c r="H346" s="34"/>
      <c r="I346" s="34"/>
      <c r="J346" s="34"/>
    </row>
    <row r="347" spans="1:10">
      <c r="A347" s="49"/>
      <c r="B347" s="50"/>
      <c r="C347" s="18"/>
      <c r="D347" s="18"/>
      <c r="E347" s="18"/>
      <c r="F347" s="58"/>
      <c r="G347" s="18"/>
      <c r="H347" s="34"/>
      <c r="I347" s="34"/>
      <c r="J347" s="34"/>
    </row>
    <row r="348" spans="1:10">
      <c r="A348" s="49"/>
      <c r="B348" s="50"/>
      <c r="C348" s="18"/>
      <c r="D348" s="18"/>
      <c r="E348" s="18"/>
      <c r="F348" s="58"/>
      <c r="G348" s="18"/>
      <c r="H348" s="34"/>
      <c r="I348" s="34"/>
      <c r="J348" s="34"/>
    </row>
    <row r="349" spans="1:10">
      <c r="A349" s="49"/>
      <c r="B349" s="50"/>
      <c r="C349" s="18"/>
      <c r="D349" s="18"/>
      <c r="E349" s="18"/>
      <c r="F349" s="58"/>
      <c r="G349" s="18"/>
      <c r="H349" s="34"/>
      <c r="I349" s="34"/>
      <c r="J349" s="34"/>
    </row>
    <row r="350" spans="1:10">
      <c r="A350" s="49"/>
      <c r="B350" s="50"/>
      <c r="C350" s="18"/>
      <c r="D350" s="18"/>
      <c r="E350" s="18"/>
      <c r="F350" s="58"/>
      <c r="G350" s="18"/>
      <c r="H350" s="34"/>
      <c r="I350" s="34"/>
      <c r="J350" s="34"/>
    </row>
    <row r="351" spans="1:10">
      <c r="A351" s="49"/>
      <c r="B351" s="50"/>
      <c r="C351" s="18"/>
      <c r="D351" s="18"/>
      <c r="E351" s="18"/>
      <c r="F351" s="58"/>
      <c r="G351" s="18"/>
      <c r="H351" s="34"/>
      <c r="I351" s="34"/>
      <c r="J351" s="34"/>
    </row>
    <row r="352" spans="1:10">
      <c r="A352" s="49"/>
      <c r="B352" s="50"/>
      <c r="C352" s="18"/>
      <c r="D352" s="18"/>
      <c r="E352" s="18"/>
      <c r="F352" s="58"/>
      <c r="G352" s="18"/>
      <c r="H352" s="34"/>
      <c r="I352" s="34"/>
      <c r="J352" s="34"/>
    </row>
    <row r="353" spans="1:10">
      <c r="A353" s="49"/>
      <c r="B353" s="50"/>
      <c r="C353" s="18"/>
      <c r="D353" s="18"/>
      <c r="E353" s="18"/>
      <c r="F353" s="58"/>
      <c r="G353" s="18"/>
      <c r="H353" s="34"/>
      <c r="I353" s="34"/>
      <c r="J353" s="34"/>
    </row>
    <row r="354" spans="1:10">
      <c r="A354" s="49"/>
      <c r="B354" s="50"/>
      <c r="C354" s="18"/>
      <c r="D354" s="18"/>
      <c r="E354" s="18"/>
      <c r="F354" s="58"/>
      <c r="G354" s="18"/>
      <c r="H354" s="34"/>
      <c r="I354" s="34"/>
      <c r="J354" s="34"/>
    </row>
    <row r="355" spans="1:10">
      <c r="A355" s="49"/>
      <c r="B355" s="50"/>
      <c r="C355" s="18"/>
      <c r="D355" s="18"/>
      <c r="E355" s="18"/>
      <c r="F355" s="58"/>
      <c r="G355" s="18"/>
      <c r="H355" s="34"/>
      <c r="I355" s="34"/>
      <c r="J355" s="34"/>
    </row>
    <row r="356" spans="1:10">
      <c r="A356" s="49"/>
      <c r="B356" s="50"/>
      <c r="C356" s="18"/>
      <c r="D356" s="18"/>
      <c r="E356" s="18"/>
      <c r="F356" s="58"/>
      <c r="G356" s="18"/>
      <c r="H356" s="34"/>
      <c r="I356" s="34"/>
      <c r="J356" s="34"/>
    </row>
    <row r="357" spans="1:10">
      <c r="A357" s="49"/>
      <c r="B357" s="50"/>
      <c r="C357" s="18"/>
      <c r="D357" s="18"/>
      <c r="E357" s="18"/>
      <c r="F357" s="58"/>
      <c r="G357" s="18"/>
      <c r="H357" s="34"/>
      <c r="I357" s="34"/>
      <c r="J357" s="34"/>
    </row>
    <row r="358" spans="1:10">
      <c r="A358" s="49"/>
      <c r="B358" s="50"/>
      <c r="C358" s="18"/>
      <c r="D358" s="18"/>
      <c r="E358" s="18"/>
      <c r="F358" s="58"/>
      <c r="G358" s="18"/>
      <c r="H358" s="34"/>
      <c r="I358" s="34"/>
      <c r="J358" s="34"/>
    </row>
    <row r="359" spans="1:10">
      <c r="A359" s="49"/>
      <c r="B359" s="50"/>
      <c r="C359" s="18"/>
      <c r="D359" s="18"/>
      <c r="E359" s="18"/>
      <c r="F359" s="58"/>
      <c r="G359" s="18"/>
      <c r="H359" s="34"/>
      <c r="I359" s="34"/>
      <c r="J359" s="34"/>
    </row>
    <row r="360" spans="1:10">
      <c r="A360" s="49"/>
      <c r="B360" s="50"/>
      <c r="C360" s="18"/>
      <c r="D360" s="18"/>
      <c r="E360" s="18"/>
      <c r="F360" s="58"/>
      <c r="G360" s="18"/>
      <c r="H360" s="34"/>
      <c r="I360" s="34"/>
      <c r="J360" s="34"/>
    </row>
    <row r="361" spans="1:10">
      <c r="A361" s="49"/>
      <c r="B361" s="50"/>
      <c r="C361" s="18"/>
      <c r="D361" s="18"/>
      <c r="E361" s="18"/>
      <c r="F361" s="58"/>
      <c r="G361" s="18"/>
      <c r="H361" s="34"/>
      <c r="I361" s="34"/>
      <c r="J361" s="34"/>
    </row>
    <row r="362" spans="1:10">
      <c r="A362" s="49"/>
      <c r="B362" s="50"/>
      <c r="C362" s="18"/>
      <c r="D362" s="18"/>
      <c r="E362" s="18"/>
      <c r="F362" s="58"/>
      <c r="G362" s="18"/>
      <c r="H362" s="34"/>
      <c r="I362" s="34"/>
      <c r="J362" s="34"/>
    </row>
    <row r="363" spans="1:10">
      <c r="A363" s="49"/>
      <c r="B363" s="50"/>
      <c r="C363" s="18"/>
      <c r="D363" s="18"/>
      <c r="E363" s="18"/>
      <c r="F363" s="58"/>
      <c r="G363" s="18"/>
      <c r="H363" s="34"/>
      <c r="I363" s="34"/>
      <c r="J363" s="34"/>
    </row>
    <row r="364" spans="1:10">
      <c r="A364" s="49"/>
      <c r="B364" s="50"/>
      <c r="C364" s="18"/>
      <c r="D364" s="18"/>
      <c r="E364" s="18"/>
      <c r="F364" s="58"/>
      <c r="G364" s="18"/>
      <c r="H364" s="34"/>
      <c r="I364" s="34"/>
      <c r="J364" s="34"/>
    </row>
    <row r="365" spans="1:10">
      <c r="A365" s="49"/>
      <c r="B365" s="50"/>
      <c r="C365" s="18"/>
      <c r="D365" s="18"/>
      <c r="E365" s="18"/>
      <c r="F365" s="58"/>
      <c r="G365" s="18"/>
      <c r="H365" s="34"/>
      <c r="I365" s="34"/>
      <c r="J365" s="34"/>
    </row>
    <row r="366" spans="1:10">
      <c r="A366" s="49"/>
      <c r="B366" s="50"/>
      <c r="C366" s="18"/>
      <c r="D366" s="18"/>
      <c r="E366" s="18"/>
      <c r="F366" s="58"/>
      <c r="G366" s="18"/>
      <c r="H366" s="34"/>
      <c r="I366" s="34"/>
      <c r="J366" s="34"/>
    </row>
    <row r="367" spans="1:10">
      <c r="A367" s="49"/>
      <c r="B367" s="50"/>
      <c r="C367" s="18"/>
      <c r="D367" s="18"/>
      <c r="E367" s="18"/>
      <c r="F367" s="58"/>
      <c r="G367" s="18"/>
      <c r="H367" s="34"/>
      <c r="I367" s="34"/>
      <c r="J367" s="34"/>
    </row>
    <row r="368" spans="1:10">
      <c r="A368" s="49"/>
      <c r="B368" s="50"/>
      <c r="C368" s="18"/>
      <c r="D368" s="18"/>
      <c r="E368" s="18"/>
      <c r="F368" s="58"/>
      <c r="G368" s="18"/>
      <c r="H368" s="34"/>
      <c r="I368" s="34"/>
      <c r="J368" s="34"/>
    </row>
    <row r="369" spans="1:10">
      <c r="A369" s="49"/>
      <c r="B369" s="50"/>
      <c r="C369" s="18"/>
      <c r="D369" s="18"/>
      <c r="E369" s="18"/>
      <c r="F369" s="58"/>
      <c r="G369" s="18"/>
      <c r="H369" s="34"/>
      <c r="I369" s="34"/>
      <c r="J369" s="34"/>
    </row>
    <row r="370" spans="1:10">
      <c r="A370" s="49"/>
      <c r="B370" s="50"/>
      <c r="C370" s="18"/>
      <c r="D370" s="18"/>
      <c r="E370" s="18"/>
      <c r="F370" s="58"/>
      <c r="G370" s="18"/>
      <c r="H370" s="34"/>
      <c r="I370" s="34"/>
      <c r="J370" s="34"/>
    </row>
    <row r="371" spans="1:10">
      <c r="A371" s="49"/>
      <c r="B371" s="50"/>
      <c r="C371" s="18"/>
      <c r="D371" s="18"/>
      <c r="E371" s="18"/>
      <c r="F371" s="58"/>
      <c r="G371" s="18"/>
      <c r="H371" s="34"/>
      <c r="I371" s="34"/>
      <c r="J371" s="34"/>
    </row>
    <row r="372" spans="1:10">
      <c r="A372" s="49"/>
      <c r="B372" s="50"/>
      <c r="C372" s="18"/>
      <c r="D372" s="18"/>
      <c r="E372" s="18"/>
      <c r="F372" s="58"/>
      <c r="G372" s="18"/>
      <c r="H372" s="34"/>
      <c r="I372" s="34"/>
      <c r="J372" s="34"/>
    </row>
    <row r="373" spans="1:10">
      <c r="A373" s="49"/>
      <c r="B373" s="50"/>
      <c r="C373" s="18"/>
      <c r="D373" s="18"/>
      <c r="E373" s="18"/>
      <c r="F373" s="58"/>
      <c r="G373" s="18"/>
      <c r="H373" s="34"/>
      <c r="I373" s="34"/>
      <c r="J373" s="34"/>
    </row>
    <row r="374" spans="1:10">
      <c r="A374" s="49"/>
      <c r="B374" s="50"/>
      <c r="C374" s="18"/>
      <c r="D374" s="18"/>
      <c r="E374" s="18"/>
      <c r="F374" s="58"/>
      <c r="G374" s="18"/>
      <c r="H374" s="34"/>
      <c r="I374" s="34"/>
      <c r="J374" s="34"/>
    </row>
    <row r="375" spans="1:10">
      <c r="A375" s="49"/>
      <c r="B375" s="50"/>
      <c r="C375" s="18"/>
      <c r="D375" s="18"/>
      <c r="E375" s="18"/>
      <c r="F375" s="58"/>
      <c r="G375" s="18"/>
      <c r="H375" s="34"/>
      <c r="I375" s="34"/>
      <c r="J375" s="34"/>
    </row>
    <row r="376" spans="1:10">
      <c r="A376" s="49"/>
      <c r="B376" s="50"/>
      <c r="C376" s="18"/>
      <c r="D376" s="18"/>
      <c r="E376" s="18"/>
      <c r="F376" s="58"/>
      <c r="G376" s="18"/>
      <c r="H376" s="34"/>
      <c r="I376" s="34"/>
      <c r="J376" s="34"/>
    </row>
    <row r="377" spans="1:10">
      <c r="A377" s="49"/>
      <c r="B377" s="50"/>
      <c r="C377" s="18"/>
      <c r="D377" s="18"/>
      <c r="E377" s="18"/>
      <c r="F377" s="58"/>
      <c r="G377" s="18"/>
      <c r="H377" s="34"/>
      <c r="I377" s="34"/>
      <c r="J377" s="34"/>
    </row>
    <row r="378" spans="1:10">
      <c r="A378" s="49"/>
      <c r="B378" s="50"/>
      <c r="C378" s="18"/>
      <c r="D378" s="18"/>
      <c r="E378" s="18"/>
      <c r="F378" s="58"/>
      <c r="G378" s="18"/>
      <c r="H378" s="34"/>
      <c r="I378" s="34"/>
      <c r="J378" s="34"/>
    </row>
    <row r="379" spans="1:10">
      <c r="A379" s="49"/>
      <c r="B379" s="50"/>
      <c r="C379" s="18"/>
      <c r="D379" s="18"/>
      <c r="E379" s="18"/>
      <c r="F379" s="58"/>
      <c r="G379" s="18"/>
      <c r="H379" s="34"/>
      <c r="I379" s="34"/>
      <c r="J379" s="34"/>
    </row>
    <row r="380" spans="1:10">
      <c r="A380" s="49"/>
      <c r="B380" s="50"/>
      <c r="C380" s="18"/>
      <c r="D380" s="18"/>
      <c r="E380" s="18"/>
      <c r="F380" s="58"/>
      <c r="G380" s="18"/>
      <c r="H380" s="34"/>
      <c r="I380" s="34"/>
      <c r="J380" s="34"/>
    </row>
    <row r="381" spans="1:10">
      <c r="A381" s="49"/>
      <c r="B381" s="50"/>
      <c r="C381" s="18"/>
      <c r="D381" s="18"/>
      <c r="E381" s="18"/>
      <c r="F381" s="58"/>
      <c r="G381" s="18"/>
      <c r="H381" s="34"/>
      <c r="I381" s="34"/>
      <c r="J381" s="34"/>
    </row>
    <row r="382" spans="1:10">
      <c r="A382" s="49"/>
      <c r="B382" s="50"/>
      <c r="C382" s="18"/>
      <c r="D382" s="18"/>
      <c r="E382" s="18"/>
      <c r="F382" s="58"/>
      <c r="G382" s="18"/>
      <c r="H382" s="34"/>
      <c r="I382" s="34"/>
      <c r="J382" s="34"/>
    </row>
    <row r="383" spans="1:10">
      <c r="A383" s="49"/>
      <c r="B383" s="50"/>
      <c r="C383" s="18"/>
      <c r="D383" s="18"/>
      <c r="E383" s="18"/>
      <c r="F383" s="58"/>
      <c r="G383" s="18"/>
      <c r="H383" s="34"/>
      <c r="I383" s="34"/>
      <c r="J383" s="34"/>
    </row>
    <row r="384" spans="1:10">
      <c r="A384" s="49"/>
      <c r="B384" s="50"/>
      <c r="C384" s="18"/>
      <c r="D384" s="18"/>
      <c r="E384" s="18"/>
      <c r="F384" s="58"/>
      <c r="G384" s="18"/>
      <c r="H384" s="34"/>
      <c r="I384" s="34"/>
      <c r="J384" s="34"/>
    </row>
    <row r="385" spans="1:10">
      <c r="A385" s="49"/>
      <c r="B385" s="50"/>
      <c r="C385" s="18"/>
      <c r="D385" s="18"/>
      <c r="E385" s="18"/>
      <c r="F385" s="58"/>
      <c r="G385" s="18"/>
      <c r="H385" s="34"/>
      <c r="I385" s="34"/>
      <c r="J385" s="34"/>
    </row>
    <row r="386" spans="1:10">
      <c r="A386" s="49"/>
      <c r="B386" s="50"/>
      <c r="C386" s="18"/>
      <c r="D386" s="18"/>
      <c r="E386" s="18"/>
      <c r="F386" s="58"/>
      <c r="G386" s="18"/>
      <c r="H386" s="34"/>
      <c r="I386" s="34"/>
      <c r="J386" s="34"/>
    </row>
    <row r="387" spans="1:10">
      <c r="A387" s="49"/>
      <c r="B387" s="50"/>
      <c r="C387" s="18"/>
      <c r="D387" s="18"/>
      <c r="E387" s="18"/>
      <c r="F387" s="58"/>
      <c r="G387" s="18"/>
      <c r="H387" s="34"/>
      <c r="I387" s="34"/>
      <c r="J387" s="34"/>
    </row>
    <row r="388" spans="1:10">
      <c r="A388" s="49"/>
      <c r="B388" s="50"/>
      <c r="C388" s="18"/>
      <c r="D388" s="18"/>
      <c r="E388" s="18"/>
      <c r="F388" s="58"/>
      <c r="G388" s="18"/>
      <c r="H388" s="34"/>
      <c r="I388" s="34"/>
      <c r="J388" s="34"/>
    </row>
    <row r="389" spans="1:10">
      <c r="A389" s="49"/>
      <c r="B389" s="50"/>
      <c r="C389" s="18"/>
      <c r="D389" s="18"/>
      <c r="E389" s="18"/>
      <c r="F389" s="58"/>
      <c r="G389" s="18"/>
      <c r="H389" s="34"/>
      <c r="I389" s="34"/>
      <c r="J389" s="34"/>
    </row>
    <row r="390" spans="1:10">
      <c r="A390" s="49"/>
      <c r="B390" s="50"/>
      <c r="C390" s="18"/>
      <c r="D390" s="18"/>
      <c r="E390" s="18"/>
      <c r="F390" s="58"/>
      <c r="G390" s="18"/>
      <c r="H390" s="34"/>
      <c r="I390" s="34"/>
      <c r="J390" s="34"/>
    </row>
    <row r="391" spans="1:10">
      <c r="A391" s="49"/>
      <c r="B391" s="50"/>
      <c r="C391" s="18"/>
      <c r="D391" s="18"/>
      <c r="E391" s="18"/>
      <c r="F391" s="58"/>
      <c r="G391" s="18"/>
      <c r="H391" s="34"/>
      <c r="I391" s="34"/>
      <c r="J391" s="34"/>
    </row>
    <row r="392" spans="1:10">
      <c r="A392" s="49"/>
      <c r="B392" s="50"/>
      <c r="C392" s="18"/>
      <c r="D392" s="18"/>
      <c r="E392" s="18"/>
      <c r="F392" s="58"/>
      <c r="G392" s="18"/>
      <c r="H392" s="34"/>
      <c r="I392" s="34"/>
      <c r="J392" s="34"/>
    </row>
    <row r="393" spans="1:10">
      <c r="A393" s="49"/>
      <c r="B393" s="50"/>
      <c r="C393" s="18"/>
      <c r="D393" s="18"/>
      <c r="E393" s="18"/>
      <c r="F393" s="58"/>
      <c r="G393" s="18"/>
      <c r="H393" s="34"/>
      <c r="I393" s="34"/>
      <c r="J393" s="34"/>
    </row>
    <row r="394" spans="1:10">
      <c r="A394" s="49"/>
      <c r="B394" s="50"/>
      <c r="C394" s="18"/>
      <c r="D394" s="18"/>
      <c r="E394" s="18"/>
      <c r="F394" s="58"/>
      <c r="G394" s="18"/>
      <c r="H394" s="34"/>
      <c r="I394" s="34"/>
      <c r="J394" s="34"/>
    </row>
    <row r="395" spans="1:10">
      <c r="A395" s="49"/>
      <c r="B395" s="50"/>
      <c r="C395" s="18"/>
      <c r="D395" s="18"/>
      <c r="E395" s="18"/>
      <c r="F395" s="58"/>
      <c r="G395" s="18"/>
      <c r="H395" s="34"/>
      <c r="I395" s="34"/>
      <c r="J395" s="34"/>
    </row>
    <row r="396" spans="1:10">
      <c r="A396" s="49"/>
      <c r="B396" s="50"/>
      <c r="C396" s="18"/>
      <c r="D396" s="18"/>
      <c r="E396" s="18"/>
      <c r="F396" s="58"/>
      <c r="G396" s="18"/>
      <c r="H396" s="34"/>
      <c r="I396" s="34"/>
      <c r="J396" s="34"/>
    </row>
    <row r="397" spans="1:10">
      <c r="A397" s="49"/>
      <c r="B397" s="50"/>
      <c r="C397" s="18"/>
      <c r="D397" s="18"/>
      <c r="E397" s="18"/>
      <c r="F397" s="58"/>
      <c r="G397" s="18"/>
      <c r="H397" s="34"/>
      <c r="I397" s="34"/>
      <c r="J397" s="34"/>
    </row>
    <row r="398" spans="1:10">
      <c r="A398" s="49"/>
      <c r="B398" s="50"/>
      <c r="C398" s="18"/>
      <c r="D398" s="18"/>
      <c r="E398" s="18"/>
      <c r="F398" s="58"/>
      <c r="G398" s="18"/>
      <c r="H398" s="34"/>
      <c r="I398" s="34"/>
      <c r="J398" s="34"/>
    </row>
    <row r="399" spans="1:10">
      <c r="A399" s="49"/>
      <c r="B399" s="50"/>
      <c r="C399" s="18"/>
      <c r="D399" s="18"/>
      <c r="E399" s="18"/>
      <c r="F399" s="58"/>
      <c r="G399" s="18"/>
      <c r="H399" s="34"/>
      <c r="I399" s="34"/>
      <c r="J399" s="34"/>
    </row>
    <row r="400" spans="1:10">
      <c r="A400" s="49"/>
      <c r="B400" s="50"/>
      <c r="C400" s="18"/>
      <c r="D400" s="18"/>
      <c r="E400" s="18"/>
      <c r="F400" s="58"/>
      <c r="G400" s="18"/>
      <c r="H400" s="34"/>
      <c r="I400" s="34"/>
      <c r="J400" s="34"/>
    </row>
    <row r="401" spans="1:10">
      <c r="A401" s="49"/>
      <c r="B401" s="50"/>
      <c r="C401" s="18"/>
      <c r="D401" s="18"/>
      <c r="E401" s="18"/>
      <c r="F401" s="58"/>
      <c r="G401" s="18"/>
      <c r="H401" s="34"/>
      <c r="I401" s="34"/>
      <c r="J401" s="34"/>
    </row>
    <row r="402" spans="1:10">
      <c r="A402" s="49"/>
      <c r="B402" s="50"/>
      <c r="C402" s="18"/>
      <c r="D402" s="18"/>
      <c r="E402" s="18"/>
      <c r="F402" s="58"/>
      <c r="G402" s="18"/>
      <c r="H402" s="34"/>
      <c r="I402" s="34"/>
      <c r="J402" s="34"/>
    </row>
    <row r="403" spans="1:10">
      <c r="A403" s="49"/>
      <c r="B403" s="50"/>
      <c r="C403" s="18"/>
      <c r="D403" s="18"/>
      <c r="E403" s="18"/>
      <c r="F403" s="58"/>
      <c r="G403" s="18"/>
      <c r="H403" s="34"/>
      <c r="I403" s="34"/>
      <c r="J403" s="34"/>
    </row>
    <row r="404" spans="1:10">
      <c r="A404" s="49"/>
      <c r="B404" s="50"/>
      <c r="C404" s="18"/>
      <c r="D404" s="18"/>
      <c r="E404" s="18"/>
      <c r="F404" s="58"/>
      <c r="G404" s="18"/>
      <c r="H404" s="34"/>
      <c r="I404" s="34"/>
      <c r="J404" s="34"/>
    </row>
    <row r="405" spans="1:10">
      <c r="A405" s="49"/>
      <c r="B405" s="50"/>
      <c r="C405" s="18"/>
      <c r="D405" s="18"/>
      <c r="E405" s="18"/>
      <c r="F405" s="58"/>
      <c r="G405" s="18"/>
      <c r="H405" s="34"/>
      <c r="I405" s="34"/>
      <c r="J405" s="34"/>
    </row>
    <row r="406" spans="1:10">
      <c r="A406" s="49"/>
      <c r="B406" s="50"/>
      <c r="C406" s="18"/>
      <c r="D406" s="18"/>
      <c r="E406" s="18"/>
      <c r="F406" s="58"/>
      <c r="G406" s="18"/>
      <c r="H406" s="34"/>
      <c r="I406" s="34"/>
      <c r="J406" s="34"/>
    </row>
    <row r="407" spans="1:10">
      <c r="A407" s="49"/>
      <c r="B407" s="50"/>
      <c r="C407" s="18"/>
      <c r="D407" s="18"/>
      <c r="E407" s="18"/>
      <c r="F407" s="58"/>
      <c r="G407" s="18"/>
      <c r="H407" s="34"/>
      <c r="I407" s="34"/>
      <c r="J407" s="34"/>
    </row>
    <row r="408" spans="1:10">
      <c r="A408" s="49"/>
      <c r="B408" s="50"/>
      <c r="C408" s="18"/>
      <c r="D408" s="18"/>
      <c r="E408" s="18"/>
      <c r="F408" s="58"/>
      <c r="G408" s="18"/>
      <c r="H408" s="34"/>
      <c r="I408" s="34"/>
      <c r="J408" s="34"/>
    </row>
    <row r="409" spans="1:10">
      <c r="A409" s="49"/>
      <c r="B409" s="50"/>
      <c r="C409" s="18"/>
      <c r="D409" s="18"/>
      <c r="E409" s="18"/>
      <c r="F409" s="58"/>
      <c r="G409" s="18"/>
      <c r="H409" s="34"/>
      <c r="I409" s="34"/>
      <c r="J409" s="34"/>
    </row>
    <row r="410" spans="1:10">
      <c r="A410" s="49"/>
      <c r="B410" s="50"/>
      <c r="C410" s="18"/>
      <c r="D410" s="18"/>
      <c r="E410" s="18"/>
      <c r="F410" s="58"/>
      <c r="G410" s="18"/>
      <c r="H410" s="34"/>
      <c r="I410" s="34"/>
      <c r="J410" s="34"/>
    </row>
    <row r="411" spans="1:10">
      <c r="A411" s="49"/>
      <c r="B411" s="50"/>
      <c r="C411" s="18"/>
      <c r="D411" s="18"/>
      <c r="E411" s="18"/>
      <c r="F411" s="58"/>
      <c r="G411" s="18"/>
      <c r="H411" s="34"/>
      <c r="I411" s="34"/>
      <c r="J411" s="34"/>
    </row>
    <row r="412" spans="1:10">
      <c r="A412" s="49"/>
      <c r="B412" s="50"/>
      <c r="C412" s="18"/>
      <c r="D412" s="18"/>
      <c r="E412" s="18"/>
      <c r="F412" s="58"/>
      <c r="G412" s="18"/>
      <c r="H412" s="34"/>
      <c r="I412" s="34"/>
      <c r="J412" s="34"/>
    </row>
    <row r="413" spans="1:10">
      <c r="A413" s="49"/>
      <c r="B413" s="50"/>
      <c r="C413" s="18"/>
      <c r="D413" s="18"/>
      <c r="E413" s="18"/>
      <c r="F413" s="58"/>
      <c r="G413" s="18"/>
      <c r="H413" s="34"/>
      <c r="I413" s="34"/>
      <c r="J413" s="34"/>
    </row>
    <row r="414" spans="1:10">
      <c r="A414" s="49"/>
      <c r="B414" s="50"/>
      <c r="C414" s="18"/>
      <c r="D414" s="18"/>
      <c r="E414" s="18"/>
      <c r="F414" s="58"/>
      <c r="G414" s="18"/>
      <c r="H414" s="34"/>
      <c r="I414" s="34"/>
      <c r="J414" s="34"/>
    </row>
    <row r="415" spans="1:10">
      <c r="A415" s="49"/>
      <c r="B415" s="50"/>
      <c r="C415" s="18"/>
      <c r="D415" s="18"/>
      <c r="E415" s="18"/>
      <c r="F415" s="58"/>
      <c r="G415" s="18"/>
      <c r="H415" s="34"/>
      <c r="I415" s="34"/>
      <c r="J415" s="34"/>
    </row>
    <row r="416" spans="1:10">
      <c r="A416" s="49"/>
      <c r="B416" s="50"/>
      <c r="C416" s="18"/>
      <c r="D416" s="18"/>
      <c r="E416" s="18"/>
      <c r="F416" s="58"/>
      <c r="G416" s="18"/>
      <c r="H416" s="34"/>
      <c r="I416" s="34"/>
      <c r="J416" s="34"/>
    </row>
    <row r="417" spans="1:10">
      <c r="A417" s="49"/>
      <c r="B417" s="50"/>
      <c r="C417" s="18"/>
      <c r="D417" s="18"/>
      <c r="E417" s="18"/>
      <c r="F417" s="58"/>
      <c r="G417" s="18"/>
      <c r="H417" s="34"/>
      <c r="I417" s="34"/>
      <c r="J417" s="34"/>
    </row>
    <row r="418" spans="1:10">
      <c r="A418" s="49"/>
      <c r="B418" s="50"/>
      <c r="C418" s="18"/>
      <c r="D418" s="18"/>
      <c r="E418" s="18"/>
      <c r="F418" s="58"/>
      <c r="G418" s="18"/>
      <c r="H418" s="34"/>
      <c r="I418" s="34"/>
      <c r="J418" s="34"/>
    </row>
    <row r="419" spans="1:10">
      <c r="A419" s="49"/>
      <c r="B419" s="50"/>
      <c r="C419" s="18"/>
      <c r="D419" s="18"/>
      <c r="E419" s="18"/>
      <c r="F419" s="58"/>
      <c r="G419" s="18"/>
      <c r="H419" s="34"/>
      <c r="I419" s="34"/>
      <c r="J419" s="34"/>
    </row>
    <row r="420" spans="1:10">
      <c r="A420" s="49"/>
      <c r="B420" s="50"/>
      <c r="C420" s="18"/>
      <c r="D420" s="18"/>
      <c r="E420" s="18"/>
      <c r="F420" s="58"/>
      <c r="G420" s="18"/>
      <c r="H420" s="34"/>
      <c r="I420" s="34"/>
      <c r="J420" s="34"/>
    </row>
    <row r="421" spans="1:10">
      <c r="A421" s="49"/>
      <c r="B421" s="50"/>
      <c r="C421" s="18"/>
      <c r="D421" s="18"/>
      <c r="E421" s="18"/>
      <c r="F421" s="58"/>
      <c r="G421" s="18"/>
      <c r="H421" s="34"/>
      <c r="I421" s="34"/>
      <c r="J421" s="34"/>
    </row>
    <row r="422" spans="1:10">
      <c r="A422" s="49"/>
      <c r="B422" s="50"/>
      <c r="C422" s="18"/>
      <c r="D422" s="18"/>
      <c r="E422" s="18"/>
      <c r="F422" s="58"/>
      <c r="G422" s="18"/>
      <c r="H422" s="34"/>
      <c r="I422" s="34"/>
      <c r="J422" s="34"/>
    </row>
    <row r="423" spans="1:10">
      <c r="A423" s="49"/>
      <c r="B423" s="50"/>
      <c r="C423" s="18"/>
      <c r="D423" s="18"/>
      <c r="E423" s="18"/>
      <c r="F423" s="58"/>
      <c r="G423" s="18"/>
      <c r="H423" s="34"/>
      <c r="I423" s="34"/>
      <c r="J423" s="34"/>
    </row>
    <row r="424" spans="1:10">
      <c r="A424" s="49"/>
      <c r="B424" s="50"/>
      <c r="C424" s="18"/>
      <c r="D424" s="18"/>
      <c r="E424" s="18"/>
      <c r="F424" s="58"/>
      <c r="G424" s="18"/>
      <c r="H424" s="34"/>
      <c r="I424" s="34"/>
      <c r="J424" s="34"/>
    </row>
    <row r="425" spans="1:10">
      <c r="A425" s="49"/>
      <c r="B425" s="50"/>
      <c r="C425" s="18"/>
      <c r="D425" s="18"/>
      <c r="E425" s="18"/>
      <c r="F425" s="58"/>
      <c r="G425" s="18"/>
      <c r="H425" s="34"/>
      <c r="I425" s="34"/>
      <c r="J425" s="34"/>
    </row>
    <row r="426" spans="1:10">
      <c r="A426" s="49"/>
      <c r="B426" s="50"/>
      <c r="C426" s="18"/>
      <c r="D426" s="18"/>
      <c r="E426" s="18"/>
      <c r="F426" s="58"/>
      <c r="G426" s="18"/>
      <c r="H426" s="34"/>
      <c r="I426" s="34"/>
      <c r="J426" s="34"/>
    </row>
    <row r="427" spans="1:10">
      <c r="A427" s="49"/>
      <c r="B427" s="50"/>
      <c r="C427" s="18"/>
      <c r="D427" s="18"/>
      <c r="E427" s="18"/>
      <c r="F427" s="58"/>
      <c r="G427" s="18"/>
      <c r="H427" s="34"/>
      <c r="I427" s="34"/>
      <c r="J427" s="34"/>
    </row>
    <row r="428" spans="1:10">
      <c r="A428" s="49"/>
      <c r="B428" s="50"/>
      <c r="C428" s="18"/>
      <c r="D428" s="18"/>
      <c r="E428" s="18"/>
      <c r="F428" s="58"/>
      <c r="G428" s="18"/>
      <c r="H428" s="34"/>
      <c r="I428" s="34"/>
      <c r="J428" s="34"/>
    </row>
    <row r="429" spans="1:10">
      <c r="A429" s="49"/>
      <c r="B429" s="50"/>
      <c r="C429" s="18"/>
      <c r="D429" s="18"/>
      <c r="E429" s="18"/>
      <c r="F429" s="58"/>
      <c r="G429" s="18"/>
      <c r="H429" s="34"/>
      <c r="I429" s="34"/>
      <c r="J429" s="34"/>
    </row>
    <row r="430" spans="1:10">
      <c r="A430" s="49"/>
      <c r="B430" s="50"/>
      <c r="C430" s="18"/>
      <c r="D430" s="18"/>
      <c r="E430" s="18"/>
      <c r="F430" s="58"/>
      <c r="G430" s="18"/>
      <c r="H430" s="34"/>
      <c r="I430" s="34"/>
      <c r="J430" s="34"/>
    </row>
    <row r="431" spans="1:10">
      <c r="A431" s="49"/>
      <c r="B431" s="50"/>
      <c r="C431" s="18"/>
      <c r="D431" s="18"/>
      <c r="E431" s="18"/>
      <c r="F431" s="58"/>
      <c r="G431" s="18"/>
      <c r="H431" s="34"/>
      <c r="I431" s="34"/>
      <c r="J431" s="34"/>
    </row>
    <row r="432" spans="1:10">
      <c r="A432" s="49"/>
      <c r="B432" s="50"/>
      <c r="C432" s="18"/>
      <c r="D432" s="18"/>
      <c r="E432" s="18"/>
      <c r="F432" s="58"/>
      <c r="G432" s="18"/>
      <c r="H432" s="34"/>
      <c r="I432" s="34"/>
      <c r="J432" s="34"/>
    </row>
    <row r="433" spans="1:10">
      <c r="A433" s="49"/>
      <c r="B433" s="50"/>
      <c r="C433" s="18"/>
      <c r="D433" s="18"/>
      <c r="E433" s="18"/>
      <c r="F433" s="58"/>
      <c r="G433" s="18"/>
      <c r="H433" s="34"/>
      <c r="I433" s="34"/>
      <c r="J433" s="34"/>
    </row>
    <row r="434" spans="1:10">
      <c r="A434" s="49"/>
      <c r="B434" s="50"/>
      <c r="C434" s="18"/>
      <c r="D434" s="18"/>
      <c r="E434" s="18"/>
      <c r="F434" s="58"/>
      <c r="G434" s="18"/>
      <c r="H434" s="34"/>
      <c r="I434" s="34"/>
      <c r="J434" s="34"/>
    </row>
    <row r="435" spans="1:10">
      <c r="A435" s="49"/>
      <c r="B435" s="50"/>
      <c r="C435" s="18"/>
      <c r="D435" s="18"/>
      <c r="E435" s="18"/>
      <c r="F435" s="58"/>
      <c r="G435" s="18"/>
      <c r="H435" s="34"/>
      <c r="I435" s="34"/>
      <c r="J435" s="34"/>
    </row>
    <row r="436" spans="1:10">
      <c r="A436" s="49"/>
      <c r="B436" s="50"/>
      <c r="C436" s="18"/>
      <c r="D436" s="18"/>
      <c r="E436" s="18"/>
      <c r="F436" s="58"/>
      <c r="G436" s="18"/>
      <c r="H436" s="34"/>
      <c r="I436" s="34"/>
      <c r="J436" s="34"/>
    </row>
    <row r="437" spans="1:10">
      <c r="A437" s="49"/>
      <c r="B437" s="50"/>
      <c r="C437" s="18"/>
      <c r="D437" s="18"/>
      <c r="E437" s="18"/>
      <c r="F437" s="58"/>
      <c r="G437" s="18"/>
      <c r="H437" s="34"/>
      <c r="I437" s="34"/>
      <c r="J437" s="34"/>
    </row>
    <row r="438" spans="1:10">
      <c r="A438" s="49"/>
      <c r="B438" s="50"/>
      <c r="C438" s="18"/>
      <c r="D438" s="18"/>
      <c r="E438" s="18"/>
      <c r="F438" s="58"/>
      <c r="G438" s="18"/>
      <c r="H438" s="34"/>
      <c r="I438" s="34"/>
      <c r="J438" s="34"/>
    </row>
    <row r="439" spans="1:10">
      <c r="A439" s="49"/>
      <c r="B439" s="50"/>
      <c r="C439" s="18"/>
      <c r="D439" s="18"/>
      <c r="E439" s="18"/>
      <c r="F439" s="58"/>
      <c r="G439" s="18"/>
      <c r="H439" s="34"/>
      <c r="I439" s="34"/>
      <c r="J439" s="34"/>
    </row>
    <row r="440" spans="1:10">
      <c r="A440" s="49"/>
      <c r="B440" s="50"/>
      <c r="C440" s="18"/>
      <c r="D440" s="18"/>
      <c r="E440" s="18"/>
      <c r="F440" s="58"/>
      <c r="G440" s="18"/>
      <c r="H440" s="34"/>
      <c r="I440" s="34"/>
      <c r="J440" s="34"/>
    </row>
    <row r="441" spans="1:10">
      <c r="A441" s="49"/>
      <c r="B441" s="50"/>
      <c r="C441" s="18"/>
      <c r="D441" s="18"/>
      <c r="E441" s="18"/>
      <c r="F441" s="58"/>
      <c r="G441" s="18"/>
      <c r="H441" s="34"/>
      <c r="I441" s="34"/>
      <c r="J441" s="34"/>
    </row>
    <row r="442" spans="1:10">
      <c r="A442" s="49"/>
      <c r="B442" s="50"/>
      <c r="C442" s="18"/>
      <c r="D442" s="18"/>
      <c r="E442" s="18"/>
      <c r="F442" s="58"/>
      <c r="G442" s="18"/>
      <c r="H442" s="34"/>
      <c r="I442" s="34"/>
      <c r="J442" s="34"/>
    </row>
    <row r="443" spans="1:10">
      <c r="A443" s="49"/>
      <c r="B443" s="50"/>
      <c r="C443" s="18"/>
      <c r="D443" s="18"/>
      <c r="E443" s="18"/>
      <c r="F443" s="58"/>
      <c r="G443" s="18"/>
      <c r="H443" s="34"/>
      <c r="I443" s="34"/>
      <c r="J443" s="34"/>
    </row>
    <row r="444" spans="1:10">
      <c r="A444" s="49"/>
      <c r="B444" s="50"/>
      <c r="C444" s="18"/>
      <c r="D444" s="18"/>
      <c r="E444" s="18"/>
      <c r="F444" s="58"/>
      <c r="G444" s="18"/>
      <c r="H444" s="34"/>
      <c r="I444" s="34"/>
      <c r="J444" s="34"/>
    </row>
    <row r="445" spans="1:10">
      <c r="A445" s="49"/>
      <c r="B445" s="50"/>
      <c r="C445" s="18"/>
      <c r="D445" s="18"/>
      <c r="E445" s="18"/>
      <c r="F445" s="58"/>
      <c r="G445" s="18"/>
      <c r="H445" s="34"/>
      <c r="I445" s="34"/>
      <c r="J445" s="34"/>
    </row>
    <row r="446" spans="1:10">
      <c r="A446" s="49"/>
      <c r="B446" s="50"/>
      <c r="C446" s="18"/>
      <c r="D446" s="18"/>
      <c r="E446" s="18"/>
      <c r="F446" s="58"/>
      <c r="G446" s="18"/>
      <c r="H446" s="34"/>
      <c r="I446" s="34"/>
      <c r="J446" s="34"/>
    </row>
    <row r="447" spans="1:10">
      <c r="A447" s="49"/>
      <c r="B447" s="50"/>
      <c r="C447" s="18"/>
      <c r="D447" s="18"/>
      <c r="E447" s="18"/>
      <c r="F447" s="58"/>
      <c r="G447" s="18"/>
      <c r="H447" s="34"/>
      <c r="I447" s="34"/>
      <c r="J447" s="34"/>
    </row>
    <row r="448" spans="1:10">
      <c r="A448" s="49"/>
      <c r="B448" s="50"/>
      <c r="C448" s="18"/>
      <c r="D448" s="18"/>
      <c r="E448" s="18"/>
      <c r="F448" s="58"/>
      <c r="G448" s="18"/>
      <c r="H448" s="34"/>
      <c r="I448" s="34"/>
      <c r="J448" s="34"/>
    </row>
    <row r="449" spans="1:10">
      <c r="A449" s="49"/>
      <c r="B449" s="50"/>
      <c r="C449" s="18"/>
      <c r="D449" s="18"/>
      <c r="E449" s="18"/>
      <c r="F449" s="58"/>
      <c r="G449" s="18"/>
      <c r="H449" s="34"/>
      <c r="I449" s="34"/>
      <c r="J449" s="34"/>
    </row>
    <row r="450" spans="1:10">
      <c r="A450" s="49"/>
      <c r="B450" s="50"/>
      <c r="C450" s="18"/>
      <c r="D450" s="18"/>
      <c r="E450" s="18"/>
      <c r="F450" s="58"/>
      <c r="G450" s="18"/>
      <c r="H450" s="34"/>
      <c r="I450" s="34"/>
      <c r="J450" s="34"/>
    </row>
    <row r="451" spans="1:10">
      <c r="A451" s="49"/>
      <c r="B451" s="50"/>
      <c r="C451" s="18"/>
      <c r="D451" s="18"/>
      <c r="E451" s="18"/>
      <c r="F451" s="58"/>
      <c r="G451" s="18"/>
      <c r="H451" s="34"/>
      <c r="I451" s="34"/>
      <c r="J451" s="34"/>
    </row>
    <row r="452" spans="1:10">
      <c r="A452" s="49"/>
      <c r="B452" s="50"/>
      <c r="C452" s="18"/>
      <c r="D452" s="18"/>
      <c r="E452" s="18"/>
      <c r="F452" s="58"/>
      <c r="G452" s="18"/>
      <c r="H452" s="34"/>
      <c r="I452" s="34"/>
      <c r="J452" s="34"/>
    </row>
    <row r="453" spans="1:10">
      <c r="A453" s="49"/>
      <c r="B453" s="50"/>
      <c r="C453" s="18"/>
      <c r="D453" s="18"/>
      <c r="E453" s="18"/>
      <c r="F453" s="58"/>
      <c r="G453" s="18"/>
      <c r="H453" s="34"/>
      <c r="I453" s="34"/>
      <c r="J453" s="34"/>
    </row>
    <row r="454" spans="1:10">
      <c r="A454" s="49"/>
      <c r="B454" s="50"/>
      <c r="C454" s="18"/>
      <c r="D454" s="18"/>
      <c r="E454" s="18"/>
      <c r="F454" s="58"/>
      <c r="G454" s="18"/>
      <c r="H454" s="34"/>
      <c r="I454" s="34"/>
      <c r="J454" s="34"/>
    </row>
    <row r="455" spans="1:10">
      <c r="A455" s="49"/>
      <c r="B455" s="50"/>
      <c r="C455" s="18"/>
      <c r="D455" s="18"/>
      <c r="E455" s="18"/>
      <c r="F455" s="58"/>
      <c r="G455" s="18"/>
      <c r="H455" s="34"/>
      <c r="I455" s="34"/>
      <c r="J455" s="34"/>
    </row>
    <row r="456" spans="1:10">
      <c r="A456" s="49"/>
      <c r="B456" s="50"/>
      <c r="C456" s="18"/>
      <c r="D456" s="18"/>
      <c r="E456" s="18"/>
      <c r="F456" s="58"/>
      <c r="G456" s="18"/>
      <c r="H456" s="34"/>
      <c r="I456" s="34"/>
      <c r="J456" s="34"/>
    </row>
    <row r="457" spans="1:10">
      <c r="A457" s="49"/>
      <c r="B457" s="50"/>
      <c r="C457" s="18"/>
      <c r="D457" s="18"/>
      <c r="E457" s="18"/>
      <c r="F457" s="58"/>
      <c r="G457" s="18"/>
      <c r="H457" s="34"/>
      <c r="I457" s="34"/>
      <c r="J457" s="34"/>
    </row>
    <row r="458" spans="1:10">
      <c r="A458" s="49"/>
      <c r="B458" s="50"/>
      <c r="C458" s="18"/>
      <c r="D458" s="18"/>
      <c r="E458" s="18"/>
      <c r="F458" s="58"/>
      <c r="G458" s="18"/>
      <c r="H458" s="34"/>
      <c r="I458" s="34"/>
      <c r="J458" s="34"/>
    </row>
    <row r="459" spans="1:10">
      <c r="A459" s="49"/>
      <c r="B459" s="50"/>
      <c r="C459" s="18"/>
      <c r="D459" s="18"/>
      <c r="E459" s="18"/>
      <c r="F459" s="58"/>
      <c r="G459" s="18"/>
      <c r="H459" s="34"/>
      <c r="I459" s="34"/>
      <c r="J459" s="34"/>
    </row>
    <row r="460" spans="1:10">
      <c r="A460" s="49"/>
      <c r="B460" s="50"/>
      <c r="C460" s="18"/>
      <c r="D460" s="18"/>
      <c r="E460" s="18"/>
      <c r="F460" s="58"/>
      <c r="G460" s="18"/>
      <c r="H460" s="34"/>
      <c r="I460" s="34"/>
      <c r="J460" s="34"/>
    </row>
    <row r="461" spans="1:10">
      <c r="A461" s="49"/>
      <c r="B461" s="50"/>
      <c r="C461" s="18"/>
      <c r="D461" s="18"/>
      <c r="E461" s="18"/>
      <c r="F461" s="58"/>
      <c r="G461" s="18"/>
      <c r="H461" s="34"/>
      <c r="I461" s="34"/>
      <c r="J461" s="34"/>
    </row>
    <row r="462" spans="1:10">
      <c r="A462" s="49"/>
      <c r="B462" s="50"/>
      <c r="C462" s="18"/>
      <c r="D462" s="18"/>
      <c r="E462" s="18"/>
      <c r="F462" s="58"/>
      <c r="G462" s="18"/>
      <c r="H462" s="34"/>
      <c r="I462" s="34"/>
      <c r="J462" s="34"/>
    </row>
    <row r="463" spans="1:10">
      <c r="A463" s="49"/>
      <c r="B463" s="50"/>
      <c r="C463" s="18"/>
      <c r="D463" s="18"/>
      <c r="E463" s="18"/>
      <c r="F463" s="58"/>
      <c r="G463" s="18"/>
      <c r="H463" s="34"/>
      <c r="I463" s="34"/>
      <c r="J463" s="34"/>
    </row>
    <row r="464" spans="1:10">
      <c r="A464" s="49"/>
      <c r="B464" s="50"/>
      <c r="C464" s="18"/>
      <c r="D464" s="18"/>
      <c r="E464" s="18"/>
      <c r="F464" s="58"/>
      <c r="G464" s="18"/>
      <c r="H464" s="34"/>
      <c r="I464" s="34"/>
      <c r="J464" s="34"/>
    </row>
    <row r="465" spans="1:10">
      <c r="A465" s="49"/>
      <c r="B465" s="50"/>
      <c r="C465" s="18"/>
      <c r="D465" s="18"/>
      <c r="E465" s="18"/>
      <c r="F465" s="58"/>
      <c r="G465" s="18"/>
      <c r="H465" s="34"/>
      <c r="I465" s="34"/>
      <c r="J465" s="34"/>
    </row>
    <row r="466" spans="1:10">
      <c r="A466" s="49"/>
      <c r="B466" s="50"/>
      <c r="C466" s="18"/>
      <c r="D466" s="18"/>
      <c r="E466" s="18"/>
      <c r="F466" s="58"/>
      <c r="G466" s="18"/>
      <c r="H466" s="34"/>
      <c r="I466" s="34"/>
      <c r="J466" s="34"/>
    </row>
    <row r="467" spans="1:10">
      <c r="A467" s="49"/>
      <c r="B467" s="50"/>
      <c r="C467" s="18"/>
      <c r="D467" s="18"/>
      <c r="E467" s="18"/>
      <c r="F467" s="58"/>
      <c r="G467" s="18"/>
      <c r="H467" s="34"/>
      <c r="I467" s="34"/>
      <c r="J467" s="34"/>
    </row>
    <row r="468" spans="1:10">
      <c r="A468" s="49"/>
      <c r="B468" s="50"/>
      <c r="C468" s="18"/>
      <c r="D468" s="18"/>
      <c r="E468" s="18"/>
      <c r="F468" s="58"/>
      <c r="G468" s="18"/>
      <c r="H468" s="34"/>
      <c r="I468" s="34"/>
      <c r="J468" s="34"/>
    </row>
    <row r="469" spans="1:10">
      <c r="A469" s="49"/>
      <c r="B469" s="50"/>
      <c r="C469" s="18"/>
      <c r="D469" s="18"/>
      <c r="E469" s="18"/>
      <c r="F469" s="58"/>
      <c r="G469" s="18"/>
      <c r="H469" s="34"/>
      <c r="I469" s="34"/>
      <c r="J469" s="34"/>
    </row>
    <row r="470" spans="1:10">
      <c r="A470" s="49"/>
      <c r="B470" s="50"/>
      <c r="C470" s="18"/>
      <c r="D470" s="18"/>
      <c r="E470" s="18"/>
      <c r="F470" s="58"/>
      <c r="G470" s="18"/>
      <c r="H470" s="34"/>
      <c r="I470" s="34"/>
      <c r="J470" s="34"/>
    </row>
    <row r="471" spans="1:10">
      <c r="A471" s="49"/>
      <c r="B471" s="50"/>
      <c r="C471" s="18"/>
      <c r="D471" s="18"/>
      <c r="E471" s="18"/>
      <c r="F471" s="58"/>
      <c r="G471" s="18"/>
      <c r="H471" s="34"/>
      <c r="I471" s="34"/>
      <c r="J471" s="34"/>
    </row>
    <row r="472" spans="1:10">
      <c r="A472" s="49"/>
      <c r="B472" s="50"/>
      <c r="C472" s="18"/>
      <c r="D472" s="18"/>
      <c r="E472" s="18"/>
      <c r="F472" s="58"/>
      <c r="G472" s="18"/>
      <c r="H472" s="34"/>
      <c r="I472" s="34"/>
      <c r="J472" s="34"/>
    </row>
    <row r="473" spans="1:10">
      <c r="A473" s="49"/>
      <c r="B473" s="50"/>
      <c r="C473" s="18"/>
      <c r="D473" s="18"/>
      <c r="E473" s="18"/>
      <c r="F473" s="58"/>
      <c r="G473" s="18"/>
      <c r="H473" s="34"/>
      <c r="I473" s="34"/>
      <c r="J473" s="34"/>
    </row>
    <row r="474" spans="1:10">
      <c r="A474" s="49"/>
      <c r="B474" s="50"/>
      <c r="C474" s="18"/>
      <c r="D474" s="18"/>
      <c r="E474" s="18"/>
      <c r="F474" s="58"/>
      <c r="G474" s="18"/>
      <c r="H474" s="34"/>
      <c r="I474" s="34"/>
      <c r="J474" s="34"/>
    </row>
    <row r="475" spans="1:10">
      <c r="A475" s="49"/>
      <c r="B475" s="50"/>
      <c r="C475" s="18"/>
      <c r="D475" s="18"/>
      <c r="E475" s="18"/>
      <c r="F475" s="58"/>
      <c r="G475" s="18"/>
      <c r="H475" s="34"/>
      <c r="I475" s="34"/>
      <c r="J475" s="34"/>
    </row>
    <row r="476" spans="1:10">
      <c r="A476" s="49"/>
      <c r="B476" s="50"/>
      <c r="C476" s="18"/>
      <c r="D476" s="18"/>
      <c r="E476" s="18"/>
      <c r="F476" s="58"/>
      <c r="G476" s="18"/>
      <c r="H476" s="34"/>
      <c r="I476" s="34"/>
      <c r="J476" s="34"/>
    </row>
    <row r="477" spans="1:10">
      <c r="A477" s="49"/>
      <c r="B477" s="50"/>
      <c r="C477" s="18"/>
      <c r="D477" s="18"/>
      <c r="E477" s="18"/>
      <c r="F477" s="58"/>
      <c r="G477" s="18"/>
      <c r="H477" s="34"/>
      <c r="I477" s="34"/>
      <c r="J477" s="34"/>
    </row>
    <row r="478" spans="1:10">
      <c r="A478" s="49"/>
      <c r="B478" s="50"/>
      <c r="C478" s="18"/>
      <c r="D478" s="18"/>
      <c r="E478" s="18"/>
      <c r="F478" s="58"/>
      <c r="G478" s="18"/>
      <c r="H478" s="34"/>
      <c r="I478" s="34"/>
      <c r="J478" s="34"/>
    </row>
    <row r="479" spans="1:10">
      <c r="A479" s="49"/>
      <c r="B479" s="50"/>
      <c r="C479" s="18"/>
      <c r="D479" s="18"/>
      <c r="E479" s="18"/>
      <c r="F479" s="58"/>
      <c r="G479" s="18"/>
      <c r="H479" s="34"/>
      <c r="I479" s="34"/>
      <c r="J479" s="34"/>
    </row>
    <row r="480" spans="1:10">
      <c r="A480" s="49"/>
      <c r="B480" s="50"/>
      <c r="C480" s="18"/>
      <c r="D480" s="18"/>
      <c r="E480" s="18"/>
      <c r="F480" s="58"/>
      <c r="G480" s="18"/>
      <c r="H480" s="34"/>
      <c r="I480" s="34"/>
      <c r="J480" s="34"/>
    </row>
    <row r="481" spans="1:10">
      <c r="A481" s="49"/>
      <c r="B481" s="50"/>
      <c r="C481" s="18"/>
      <c r="D481" s="18"/>
      <c r="E481" s="18"/>
      <c r="F481" s="58"/>
      <c r="G481" s="18"/>
      <c r="H481" s="34"/>
      <c r="I481" s="34"/>
      <c r="J481" s="34"/>
    </row>
    <row r="482" spans="1:10">
      <c r="A482" s="49"/>
      <c r="B482" s="50"/>
      <c r="C482" s="18"/>
      <c r="D482" s="18"/>
      <c r="E482" s="18"/>
      <c r="F482" s="58"/>
      <c r="G482" s="18"/>
      <c r="H482" s="34"/>
      <c r="I482" s="34"/>
      <c r="J482" s="34"/>
    </row>
    <row r="483" spans="1:10">
      <c r="A483" s="49"/>
      <c r="B483" s="50"/>
      <c r="C483" s="18"/>
      <c r="D483" s="18"/>
      <c r="E483" s="18"/>
      <c r="F483" s="58"/>
      <c r="G483" s="18"/>
      <c r="H483" s="34"/>
      <c r="I483" s="34"/>
      <c r="J483" s="34"/>
    </row>
    <row r="484" spans="1:10">
      <c r="A484" s="49"/>
      <c r="B484" s="50"/>
      <c r="C484" s="18"/>
      <c r="D484" s="18"/>
      <c r="E484" s="18"/>
      <c r="F484" s="58"/>
      <c r="G484" s="18"/>
      <c r="H484" s="34"/>
      <c r="I484" s="34"/>
      <c r="J484" s="34"/>
    </row>
    <row r="485" spans="1:10">
      <c r="A485" s="49"/>
      <c r="B485" s="50"/>
      <c r="C485" s="18"/>
      <c r="D485" s="18"/>
      <c r="E485" s="18"/>
      <c r="F485" s="58"/>
      <c r="G485" s="18"/>
      <c r="H485" s="34"/>
      <c r="I485" s="34"/>
      <c r="J485" s="34"/>
    </row>
    <row r="486" spans="1:10">
      <c r="A486" s="49"/>
      <c r="B486" s="50"/>
      <c r="C486" s="18"/>
      <c r="D486" s="18"/>
      <c r="E486" s="18"/>
      <c r="F486" s="58"/>
      <c r="G486" s="18"/>
      <c r="H486" s="34"/>
      <c r="I486" s="34"/>
      <c r="J486" s="34"/>
    </row>
    <row r="487" spans="1:10">
      <c r="A487" s="49"/>
      <c r="B487" s="50"/>
      <c r="C487" s="18"/>
      <c r="D487" s="18"/>
      <c r="E487" s="18"/>
      <c r="F487" s="58"/>
      <c r="G487" s="18"/>
      <c r="H487" s="34"/>
      <c r="I487" s="34"/>
      <c r="J487" s="34"/>
    </row>
    <row r="488" spans="1:10">
      <c r="A488" s="49"/>
      <c r="B488" s="50"/>
      <c r="C488" s="18"/>
      <c r="D488" s="18"/>
      <c r="E488" s="18"/>
      <c r="F488" s="58"/>
      <c r="G488" s="18"/>
      <c r="H488" s="34"/>
      <c r="I488" s="34"/>
      <c r="J488" s="34"/>
    </row>
    <row r="489" spans="1:10">
      <c r="A489" s="49"/>
      <c r="B489" s="50"/>
      <c r="C489" s="18"/>
      <c r="D489" s="18"/>
      <c r="E489" s="18"/>
      <c r="F489" s="58"/>
      <c r="G489" s="18"/>
      <c r="H489" s="34"/>
      <c r="I489" s="34"/>
      <c r="J489" s="34"/>
    </row>
    <row r="490" spans="1:10">
      <c r="A490" s="49"/>
      <c r="B490" s="50"/>
      <c r="C490" s="18"/>
      <c r="D490" s="18"/>
      <c r="E490" s="18"/>
      <c r="F490" s="58"/>
      <c r="G490" s="18"/>
      <c r="H490" s="34"/>
      <c r="I490" s="34"/>
      <c r="J490" s="34"/>
    </row>
    <row r="491" spans="1:10">
      <c r="A491" s="49"/>
      <c r="B491" s="50"/>
      <c r="C491" s="18"/>
      <c r="D491" s="18"/>
      <c r="E491" s="18"/>
      <c r="F491" s="58"/>
      <c r="G491" s="18"/>
      <c r="H491" s="34"/>
      <c r="I491" s="34"/>
      <c r="J491" s="34"/>
    </row>
    <row r="492" spans="1:10">
      <c r="A492" s="49"/>
      <c r="B492" s="50"/>
      <c r="C492" s="18"/>
      <c r="D492" s="18"/>
      <c r="E492" s="18"/>
      <c r="F492" s="58"/>
      <c r="G492" s="18"/>
      <c r="H492" s="34"/>
      <c r="I492" s="34"/>
      <c r="J492" s="34"/>
    </row>
    <row r="493" spans="1:10">
      <c r="A493" s="49"/>
      <c r="B493" s="50"/>
      <c r="C493" s="18"/>
      <c r="D493" s="18"/>
      <c r="E493" s="18"/>
      <c r="F493" s="58"/>
      <c r="G493" s="18"/>
      <c r="H493" s="34"/>
      <c r="I493" s="34"/>
      <c r="J493" s="34"/>
    </row>
    <row r="494" spans="1:10">
      <c r="A494" s="49"/>
      <c r="B494" s="50"/>
      <c r="C494" s="18"/>
      <c r="D494" s="18"/>
      <c r="E494" s="18"/>
      <c r="F494" s="58"/>
      <c r="G494" s="18"/>
      <c r="H494" s="34"/>
      <c r="I494" s="34"/>
      <c r="J494" s="34"/>
    </row>
    <row r="495" spans="1:10">
      <c r="A495" s="49"/>
      <c r="B495" s="50"/>
      <c r="C495" s="18"/>
      <c r="D495" s="18"/>
      <c r="E495" s="18"/>
      <c r="F495" s="58"/>
      <c r="G495" s="18"/>
      <c r="H495" s="34"/>
      <c r="I495" s="34"/>
      <c r="J495" s="34"/>
    </row>
    <row r="496" spans="1:10">
      <c r="A496" s="49"/>
      <c r="B496" s="50"/>
      <c r="C496" s="18"/>
      <c r="D496" s="18"/>
      <c r="E496" s="18"/>
      <c r="F496" s="58"/>
      <c r="G496" s="18"/>
      <c r="H496" s="34"/>
      <c r="I496" s="34"/>
      <c r="J496" s="34"/>
    </row>
    <row r="497" spans="1:10">
      <c r="A497" s="49"/>
      <c r="B497" s="50"/>
      <c r="C497" s="18"/>
      <c r="D497" s="18"/>
      <c r="E497" s="18"/>
      <c r="F497" s="58"/>
      <c r="G497" s="18"/>
      <c r="H497" s="34"/>
      <c r="I497" s="34"/>
      <c r="J497" s="34"/>
    </row>
    <row r="498" spans="1:10">
      <c r="A498" s="49"/>
      <c r="B498" s="50"/>
      <c r="C498" s="18"/>
      <c r="D498" s="18"/>
      <c r="E498" s="18"/>
      <c r="F498" s="58"/>
      <c r="G498" s="18"/>
      <c r="H498" s="34"/>
      <c r="I498" s="34"/>
      <c r="J498" s="34"/>
    </row>
    <row r="499" spans="1:10">
      <c r="A499" s="49"/>
      <c r="B499" s="50"/>
      <c r="C499" s="18"/>
      <c r="D499" s="18"/>
      <c r="E499" s="18"/>
      <c r="F499" s="58"/>
      <c r="G499" s="18"/>
      <c r="H499" s="34"/>
      <c r="I499" s="34"/>
      <c r="J499" s="34"/>
    </row>
    <row r="500" spans="1:10">
      <c r="A500" s="49"/>
      <c r="B500" s="50"/>
      <c r="C500" s="18"/>
      <c r="D500" s="18"/>
      <c r="E500" s="18"/>
      <c r="F500" s="58"/>
      <c r="G500" s="18"/>
      <c r="H500" s="34"/>
      <c r="I500" s="34"/>
      <c r="J500" s="34"/>
    </row>
    <row r="501" spans="1:10">
      <c r="A501" s="49"/>
      <c r="B501" s="50"/>
      <c r="C501" s="18"/>
      <c r="D501" s="18"/>
      <c r="E501" s="18"/>
      <c r="F501" s="58"/>
      <c r="G501" s="18"/>
      <c r="H501" s="34"/>
      <c r="I501" s="34"/>
      <c r="J501" s="34"/>
    </row>
    <row r="502" spans="1:10">
      <c r="A502" s="49"/>
      <c r="B502" s="50"/>
      <c r="C502" s="18"/>
      <c r="D502" s="18"/>
      <c r="E502" s="18"/>
      <c r="F502" s="58"/>
      <c r="G502" s="18"/>
      <c r="H502" s="34"/>
      <c r="I502" s="34"/>
      <c r="J502" s="34"/>
    </row>
    <row r="503" spans="1:10">
      <c r="A503" s="49"/>
      <c r="B503" s="50"/>
      <c r="C503" s="18"/>
      <c r="D503" s="18"/>
      <c r="E503" s="18"/>
      <c r="F503" s="58"/>
      <c r="G503" s="18"/>
      <c r="H503" s="34"/>
      <c r="I503" s="34"/>
      <c r="J503" s="34"/>
    </row>
    <row r="504" spans="1:10">
      <c r="A504" s="49"/>
      <c r="B504" s="50"/>
      <c r="C504" s="18"/>
      <c r="D504" s="18"/>
      <c r="E504" s="18"/>
      <c r="F504" s="58"/>
      <c r="G504" s="18"/>
      <c r="H504" s="34"/>
      <c r="I504" s="34"/>
      <c r="J504" s="34"/>
    </row>
    <row r="505" spans="1:10">
      <c r="A505" s="49"/>
      <c r="B505" s="50"/>
      <c r="C505" s="18"/>
      <c r="D505" s="18"/>
      <c r="E505" s="18"/>
      <c r="F505" s="58"/>
      <c r="G505" s="18"/>
      <c r="H505" s="34"/>
      <c r="I505" s="34"/>
      <c r="J505" s="34"/>
    </row>
    <row r="506" spans="1:10">
      <c r="A506" s="49"/>
      <c r="B506" s="50"/>
      <c r="C506" s="18"/>
      <c r="D506" s="18"/>
      <c r="E506" s="18"/>
      <c r="F506" s="58"/>
      <c r="G506" s="18"/>
      <c r="H506" s="34"/>
      <c r="I506" s="34"/>
      <c r="J506" s="34"/>
    </row>
    <row r="507" spans="1:10">
      <c r="A507" s="49"/>
      <c r="B507" s="50"/>
      <c r="C507" s="18"/>
      <c r="D507" s="18"/>
      <c r="E507" s="18"/>
      <c r="F507" s="58"/>
      <c r="G507" s="18"/>
      <c r="H507" s="34"/>
      <c r="I507" s="34"/>
      <c r="J507" s="34"/>
    </row>
    <row r="508" spans="1:10">
      <c r="A508" s="49"/>
      <c r="B508" s="50"/>
      <c r="C508" s="18"/>
      <c r="D508" s="18"/>
      <c r="E508" s="18"/>
      <c r="F508" s="58"/>
      <c r="G508" s="18"/>
      <c r="H508" s="34"/>
      <c r="I508" s="34"/>
      <c r="J508" s="34"/>
    </row>
    <row r="509" spans="1:10">
      <c r="A509" s="49"/>
      <c r="B509" s="50"/>
      <c r="C509" s="18"/>
      <c r="D509" s="18"/>
      <c r="E509" s="18"/>
      <c r="F509" s="58"/>
      <c r="G509" s="18"/>
      <c r="H509" s="34"/>
      <c r="I509" s="34"/>
      <c r="J509" s="34"/>
    </row>
    <row r="510" spans="1:10">
      <c r="A510" s="49"/>
      <c r="B510" s="50"/>
      <c r="C510" s="18"/>
      <c r="D510" s="18"/>
      <c r="E510" s="18"/>
      <c r="F510" s="58"/>
      <c r="G510" s="18"/>
      <c r="H510" s="34"/>
      <c r="I510" s="34"/>
      <c r="J510" s="34"/>
    </row>
    <row r="511" spans="1:10">
      <c r="A511" s="49"/>
      <c r="B511" s="50"/>
      <c r="C511" s="18"/>
      <c r="D511" s="18"/>
      <c r="E511" s="18"/>
      <c r="F511" s="58"/>
      <c r="G511" s="18"/>
      <c r="H511" s="34"/>
      <c r="I511" s="34"/>
      <c r="J511" s="34"/>
    </row>
    <row r="512" spans="1:10">
      <c r="A512" s="49"/>
      <c r="B512" s="50"/>
      <c r="C512" s="18"/>
      <c r="D512" s="18"/>
      <c r="E512" s="18"/>
      <c r="F512" s="58"/>
      <c r="G512" s="18"/>
      <c r="H512" s="34"/>
      <c r="I512" s="34"/>
      <c r="J512" s="34"/>
    </row>
    <row r="513" spans="1:10">
      <c r="A513" s="49"/>
      <c r="B513" s="50"/>
      <c r="C513" s="18"/>
      <c r="D513" s="18"/>
      <c r="E513" s="18"/>
      <c r="F513" s="58"/>
      <c r="G513" s="18"/>
      <c r="H513" s="34"/>
      <c r="I513" s="34"/>
      <c r="J513" s="34"/>
    </row>
    <row r="514" spans="1:10">
      <c r="A514" s="49"/>
      <c r="B514" s="50"/>
      <c r="C514" s="18"/>
      <c r="D514" s="18"/>
      <c r="E514" s="18"/>
      <c r="F514" s="58"/>
      <c r="G514" s="18"/>
      <c r="H514" s="34"/>
      <c r="I514" s="34"/>
      <c r="J514" s="34"/>
    </row>
    <row r="515" spans="1:10">
      <c r="A515" s="49"/>
      <c r="B515" s="50"/>
      <c r="C515" s="18"/>
      <c r="D515" s="18"/>
      <c r="E515" s="18"/>
      <c r="F515" s="58"/>
      <c r="G515" s="18"/>
      <c r="H515" s="34"/>
      <c r="I515" s="34"/>
      <c r="J515" s="34"/>
    </row>
    <row r="516" spans="1:10">
      <c r="A516" s="49"/>
      <c r="B516" s="50"/>
      <c r="C516" s="18"/>
      <c r="D516" s="18"/>
      <c r="E516" s="18"/>
      <c r="F516" s="58"/>
      <c r="G516" s="18"/>
      <c r="H516" s="34"/>
      <c r="I516" s="34"/>
      <c r="J516" s="34"/>
    </row>
    <row r="517" spans="1:10">
      <c r="A517" s="49"/>
      <c r="B517" s="50"/>
      <c r="C517" s="18"/>
      <c r="D517" s="18"/>
      <c r="E517" s="18"/>
      <c r="F517" s="58"/>
      <c r="G517" s="18"/>
      <c r="H517" s="34"/>
      <c r="I517" s="34"/>
      <c r="J517" s="34"/>
    </row>
    <row r="518" spans="1:10">
      <c r="A518" s="49"/>
      <c r="B518" s="50"/>
      <c r="C518" s="18"/>
      <c r="D518" s="18"/>
      <c r="E518" s="18"/>
      <c r="F518" s="58"/>
      <c r="G518" s="18"/>
      <c r="H518" s="34"/>
      <c r="I518" s="34"/>
      <c r="J518" s="34"/>
    </row>
    <row r="519" spans="1:10">
      <c r="A519" s="49"/>
      <c r="B519" s="50"/>
      <c r="C519" s="18"/>
      <c r="D519" s="18"/>
      <c r="E519" s="18"/>
      <c r="F519" s="58"/>
      <c r="G519" s="18"/>
      <c r="H519" s="34"/>
      <c r="I519" s="34"/>
      <c r="J519" s="34"/>
    </row>
    <row r="520" spans="1:10">
      <c r="A520" s="49"/>
      <c r="B520" s="50"/>
      <c r="C520" s="18"/>
      <c r="D520" s="18"/>
      <c r="E520" s="18"/>
      <c r="F520" s="58"/>
      <c r="G520" s="18"/>
      <c r="H520" s="34"/>
      <c r="I520" s="34"/>
      <c r="J520" s="34"/>
    </row>
    <row r="521" spans="1:10">
      <c r="A521" s="49"/>
      <c r="B521" s="50"/>
      <c r="C521" s="18"/>
      <c r="D521" s="18"/>
      <c r="E521" s="18"/>
      <c r="F521" s="58"/>
      <c r="G521" s="18"/>
      <c r="H521" s="34"/>
      <c r="I521" s="34"/>
      <c r="J521" s="34"/>
    </row>
    <row r="522" spans="1:10">
      <c r="A522" s="49"/>
      <c r="B522" s="50"/>
      <c r="C522" s="18"/>
      <c r="D522" s="18"/>
      <c r="E522" s="18"/>
      <c r="F522" s="58"/>
      <c r="G522" s="18"/>
      <c r="H522" s="34"/>
      <c r="I522" s="34"/>
      <c r="J522" s="34"/>
    </row>
    <row r="523" spans="1:10">
      <c r="A523" s="49"/>
      <c r="B523" s="50"/>
      <c r="C523" s="18"/>
      <c r="D523" s="18"/>
      <c r="E523" s="18"/>
      <c r="F523" s="58"/>
      <c r="G523" s="18"/>
      <c r="H523" s="34"/>
      <c r="I523" s="34"/>
      <c r="J523" s="34"/>
    </row>
    <row r="524" spans="1:10">
      <c r="A524" s="49"/>
      <c r="B524" s="50"/>
      <c r="C524" s="18"/>
      <c r="D524" s="18"/>
      <c r="E524" s="18"/>
      <c r="F524" s="58"/>
      <c r="G524" s="18"/>
      <c r="H524" s="34"/>
      <c r="I524" s="34"/>
      <c r="J524" s="34"/>
    </row>
    <row r="525" spans="1:10">
      <c r="A525" s="49"/>
      <c r="B525" s="50"/>
      <c r="C525" s="18"/>
      <c r="D525" s="18"/>
      <c r="E525" s="18"/>
      <c r="F525" s="58"/>
      <c r="G525" s="18"/>
      <c r="H525" s="34"/>
      <c r="I525" s="34"/>
      <c r="J525" s="34"/>
    </row>
    <row r="526" spans="1:10">
      <c r="A526" s="49"/>
      <c r="B526" s="50"/>
      <c r="C526" s="18"/>
      <c r="D526" s="18"/>
      <c r="E526" s="18"/>
      <c r="F526" s="58"/>
      <c r="G526" s="18"/>
      <c r="H526" s="34"/>
      <c r="I526" s="34"/>
      <c r="J526" s="34"/>
    </row>
    <row r="527" spans="1:10">
      <c r="A527" s="49"/>
      <c r="B527" s="50"/>
      <c r="C527" s="18"/>
      <c r="D527" s="18"/>
      <c r="E527" s="18"/>
      <c r="F527" s="58"/>
      <c r="G527" s="18"/>
      <c r="H527" s="34"/>
      <c r="I527" s="34"/>
      <c r="J527" s="34"/>
    </row>
    <row r="528" spans="1:10">
      <c r="A528" s="49"/>
      <c r="B528" s="50"/>
      <c r="C528" s="18"/>
      <c r="D528" s="18"/>
      <c r="E528" s="18"/>
      <c r="F528" s="58"/>
      <c r="G528" s="18"/>
      <c r="H528" s="34"/>
      <c r="I528" s="34"/>
      <c r="J528" s="34"/>
    </row>
    <row r="529" spans="1:10">
      <c r="A529" s="49"/>
      <c r="B529" s="50"/>
      <c r="C529" s="18"/>
      <c r="D529" s="18"/>
      <c r="E529" s="18"/>
      <c r="F529" s="58"/>
      <c r="G529" s="18"/>
      <c r="H529" s="34"/>
      <c r="I529" s="34"/>
      <c r="J529" s="34"/>
    </row>
    <row r="530" spans="1:10">
      <c r="A530" s="49"/>
      <c r="B530" s="50"/>
      <c r="C530" s="18"/>
      <c r="D530" s="18"/>
      <c r="E530" s="18"/>
      <c r="F530" s="58"/>
      <c r="G530" s="18"/>
      <c r="H530" s="34"/>
      <c r="I530" s="34"/>
      <c r="J530" s="34"/>
    </row>
    <row r="531" spans="1:10">
      <c r="A531" s="49"/>
      <c r="B531" s="50"/>
      <c r="C531" s="18"/>
      <c r="D531" s="18"/>
      <c r="E531" s="18"/>
      <c r="F531" s="58"/>
      <c r="G531" s="18"/>
      <c r="H531" s="34"/>
      <c r="I531" s="34"/>
      <c r="J531" s="34"/>
    </row>
    <row r="532" spans="1:10">
      <c r="A532" s="49"/>
      <c r="B532" s="50"/>
      <c r="C532" s="18"/>
      <c r="D532" s="18"/>
      <c r="E532" s="18"/>
      <c r="F532" s="58"/>
      <c r="G532" s="18"/>
      <c r="H532" s="34"/>
      <c r="I532" s="34"/>
      <c r="J532" s="34"/>
    </row>
    <row r="533" spans="1:10">
      <c r="A533" s="49"/>
      <c r="B533" s="50"/>
      <c r="C533" s="18"/>
      <c r="D533" s="18"/>
      <c r="E533" s="18"/>
      <c r="F533" s="58"/>
      <c r="G533" s="18"/>
      <c r="H533" s="34"/>
      <c r="I533" s="34"/>
      <c r="J533" s="34"/>
    </row>
    <row r="534" spans="1:10">
      <c r="A534" s="49"/>
      <c r="B534" s="50"/>
      <c r="C534" s="18"/>
      <c r="D534" s="18"/>
      <c r="E534" s="18"/>
      <c r="F534" s="58"/>
      <c r="G534" s="18"/>
      <c r="H534" s="34"/>
      <c r="I534" s="34"/>
      <c r="J534" s="34"/>
    </row>
    <row r="535" spans="1:10">
      <c r="A535" s="49"/>
      <c r="B535" s="50"/>
      <c r="C535" s="18"/>
      <c r="D535" s="18"/>
      <c r="E535" s="18"/>
      <c r="F535" s="58"/>
      <c r="G535" s="18"/>
      <c r="H535" s="34"/>
      <c r="I535" s="34"/>
      <c r="J535" s="34"/>
    </row>
    <row r="536" spans="1:10">
      <c r="A536" s="49"/>
      <c r="B536" s="50"/>
      <c r="C536" s="18"/>
      <c r="D536" s="18"/>
      <c r="E536" s="18"/>
      <c r="F536" s="58"/>
      <c r="G536" s="18"/>
      <c r="H536" s="34"/>
      <c r="I536" s="34"/>
      <c r="J536" s="34"/>
    </row>
    <row r="537" spans="1:10">
      <c r="A537" s="49"/>
      <c r="B537" s="50"/>
      <c r="C537" s="18"/>
      <c r="D537" s="18"/>
      <c r="E537" s="18"/>
      <c r="F537" s="58"/>
      <c r="G537" s="18"/>
      <c r="H537" s="34"/>
      <c r="I537" s="34"/>
      <c r="J537" s="34"/>
    </row>
    <row r="538" spans="1:10">
      <c r="A538" s="49"/>
      <c r="B538" s="50"/>
      <c r="C538" s="18"/>
      <c r="D538" s="18"/>
      <c r="E538" s="18"/>
      <c r="F538" s="58"/>
      <c r="G538" s="18"/>
      <c r="H538" s="34"/>
      <c r="I538" s="34"/>
      <c r="J538" s="34"/>
    </row>
    <row r="539" spans="1:10">
      <c r="A539" s="49"/>
      <c r="B539" s="50"/>
      <c r="C539" s="18"/>
      <c r="D539" s="18"/>
      <c r="E539" s="18"/>
      <c r="F539" s="58"/>
      <c r="G539" s="18"/>
      <c r="H539" s="34"/>
      <c r="I539" s="34"/>
      <c r="J539" s="34"/>
    </row>
    <row r="540" spans="1:10">
      <c r="A540" s="49"/>
      <c r="B540" s="50"/>
      <c r="C540" s="18"/>
      <c r="D540" s="18"/>
      <c r="E540" s="18"/>
      <c r="F540" s="58"/>
      <c r="G540" s="18"/>
      <c r="H540" s="34"/>
      <c r="I540" s="34"/>
      <c r="J540" s="34"/>
    </row>
    <row r="541" spans="1:10">
      <c r="A541" s="49"/>
      <c r="B541" s="50"/>
      <c r="C541" s="18"/>
      <c r="D541" s="18"/>
      <c r="E541" s="18"/>
      <c r="F541" s="58"/>
      <c r="G541" s="18"/>
      <c r="H541" s="34"/>
      <c r="I541" s="34"/>
      <c r="J541" s="34"/>
    </row>
    <row r="542" spans="1:10">
      <c r="A542" s="49"/>
      <c r="B542" s="50"/>
      <c r="C542" s="18"/>
      <c r="D542" s="18"/>
      <c r="E542" s="18"/>
      <c r="F542" s="58"/>
      <c r="G542" s="18"/>
      <c r="H542" s="34"/>
      <c r="I542" s="34"/>
      <c r="J542" s="34"/>
    </row>
    <row r="543" spans="1:10">
      <c r="A543" s="49"/>
      <c r="B543" s="50"/>
      <c r="C543" s="18"/>
      <c r="D543" s="18"/>
      <c r="E543" s="18"/>
      <c r="F543" s="58"/>
      <c r="G543" s="18"/>
      <c r="H543" s="34"/>
      <c r="I543" s="34"/>
      <c r="J543" s="34"/>
    </row>
    <row r="544" spans="1:10">
      <c r="A544" s="49"/>
      <c r="B544" s="50"/>
      <c r="C544" s="18"/>
      <c r="D544" s="18"/>
      <c r="E544" s="18"/>
      <c r="F544" s="58"/>
      <c r="G544" s="18"/>
      <c r="H544" s="34"/>
      <c r="I544" s="34"/>
      <c r="J544" s="34"/>
    </row>
    <row r="545" spans="1:10">
      <c r="A545" s="49"/>
      <c r="B545" s="50"/>
      <c r="C545" s="18"/>
      <c r="D545" s="18"/>
      <c r="E545" s="18"/>
      <c r="F545" s="58"/>
      <c r="G545" s="18"/>
      <c r="H545" s="34"/>
      <c r="I545" s="34"/>
      <c r="J545" s="34"/>
    </row>
    <row r="546" spans="1:10">
      <c r="A546" s="49"/>
      <c r="B546" s="50"/>
      <c r="C546" s="18"/>
      <c r="D546" s="18"/>
      <c r="E546" s="18"/>
      <c r="F546" s="58"/>
      <c r="G546" s="18"/>
      <c r="H546" s="34"/>
      <c r="I546" s="34"/>
      <c r="J546" s="34"/>
    </row>
    <row r="547" spans="1:10">
      <c r="A547" s="49"/>
      <c r="B547" s="50"/>
      <c r="C547" s="18"/>
      <c r="D547" s="18"/>
      <c r="E547" s="18"/>
      <c r="F547" s="58"/>
      <c r="G547" s="18"/>
      <c r="H547" s="34"/>
      <c r="I547" s="34"/>
      <c r="J547" s="34"/>
    </row>
    <row r="548" spans="1:10">
      <c r="A548" s="49"/>
      <c r="B548" s="50"/>
      <c r="C548" s="18"/>
      <c r="D548" s="18"/>
      <c r="E548" s="18"/>
      <c r="F548" s="58"/>
      <c r="G548" s="18"/>
      <c r="H548" s="34"/>
      <c r="I548" s="34"/>
      <c r="J548" s="34"/>
    </row>
    <row r="549" spans="1:10">
      <c r="A549" s="49"/>
      <c r="B549" s="50"/>
      <c r="C549" s="18"/>
      <c r="D549" s="18"/>
      <c r="E549" s="18"/>
      <c r="F549" s="58"/>
      <c r="G549" s="18"/>
      <c r="H549" s="34"/>
      <c r="I549" s="34"/>
      <c r="J549" s="34"/>
    </row>
    <row r="550" spans="1:10">
      <c r="A550" s="49"/>
      <c r="B550" s="50"/>
      <c r="C550" s="18"/>
      <c r="D550" s="18"/>
      <c r="E550" s="18"/>
      <c r="F550" s="58"/>
      <c r="G550" s="18"/>
      <c r="H550" s="34"/>
      <c r="I550" s="34"/>
      <c r="J550" s="34"/>
    </row>
    <row r="551" spans="1:10">
      <c r="A551" s="49"/>
      <c r="B551" s="50"/>
      <c r="C551" s="18"/>
      <c r="D551" s="18"/>
      <c r="E551" s="18"/>
      <c r="F551" s="58"/>
      <c r="G551" s="18"/>
      <c r="H551" s="34"/>
      <c r="I551" s="34"/>
      <c r="J551" s="34"/>
    </row>
    <row r="552" spans="1:10">
      <c r="A552" s="49"/>
      <c r="B552" s="50"/>
      <c r="C552" s="18"/>
      <c r="D552" s="18"/>
      <c r="E552" s="18"/>
      <c r="F552" s="58"/>
      <c r="G552" s="18"/>
      <c r="H552" s="34"/>
      <c r="I552" s="34"/>
      <c r="J552" s="34"/>
    </row>
    <row r="553" spans="1:10">
      <c r="A553" s="49"/>
      <c r="B553" s="50"/>
      <c r="C553" s="18"/>
      <c r="D553" s="18"/>
      <c r="E553" s="18"/>
      <c r="F553" s="58"/>
      <c r="G553" s="18"/>
      <c r="H553" s="34"/>
      <c r="I553" s="34"/>
      <c r="J553" s="34"/>
    </row>
    <row r="554" spans="1:10">
      <c r="A554" s="49"/>
      <c r="B554" s="50"/>
      <c r="C554" s="18"/>
      <c r="D554" s="18"/>
      <c r="E554" s="18"/>
      <c r="F554" s="58"/>
      <c r="G554" s="18"/>
      <c r="H554" s="34"/>
      <c r="I554" s="34"/>
      <c r="J554" s="34"/>
    </row>
    <row r="555" spans="1:10">
      <c r="A555" s="49"/>
      <c r="B555" s="50"/>
      <c r="C555" s="18"/>
      <c r="D555" s="18"/>
      <c r="E555" s="18"/>
      <c r="F555" s="58"/>
      <c r="G555" s="18"/>
      <c r="H555" s="34"/>
      <c r="I555" s="34"/>
      <c r="J555" s="34"/>
    </row>
    <row r="556" spans="1:10">
      <c r="A556" s="49"/>
      <c r="B556" s="50"/>
      <c r="C556" s="18"/>
      <c r="D556" s="18"/>
      <c r="E556" s="18"/>
      <c r="F556" s="58"/>
      <c r="G556" s="18"/>
      <c r="H556" s="34"/>
      <c r="I556" s="34"/>
      <c r="J556" s="34"/>
    </row>
    <row r="557" spans="1:10">
      <c r="A557" s="49"/>
      <c r="B557" s="50"/>
      <c r="C557" s="18"/>
      <c r="D557" s="18"/>
      <c r="E557" s="18"/>
      <c r="F557" s="58"/>
      <c r="G557" s="18"/>
      <c r="H557" s="34"/>
      <c r="I557" s="34"/>
      <c r="J557" s="34"/>
    </row>
    <row r="558" spans="1:10">
      <c r="A558" s="49"/>
      <c r="B558" s="50"/>
      <c r="C558" s="18"/>
      <c r="D558" s="18"/>
      <c r="E558" s="18"/>
      <c r="F558" s="58"/>
      <c r="G558" s="18"/>
      <c r="H558" s="34"/>
      <c r="I558" s="34"/>
      <c r="J558" s="34"/>
    </row>
    <row r="559" spans="1:10">
      <c r="A559" s="49"/>
      <c r="B559" s="50"/>
      <c r="C559" s="18"/>
      <c r="D559" s="18"/>
      <c r="E559" s="18"/>
      <c r="F559" s="58"/>
      <c r="G559" s="18"/>
      <c r="H559" s="34"/>
      <c r="I559" s="34"/>
      <c r="J559" s="34"/>
    </row>
    <row r="560" spans="1:10">
      <c r="A560" s="49"/>
      <c r="B560" s="50"/>
      <c r="C560" s="18"/>
      <c r="D560" s="18"/>
      <c r="E560" s="18"/>
      <c r="F560" s="58"/>
      <c r="G560" s="18"/>
      <c r="H560" s="34"/>
      <c r="I560" s="34"/>
      <c r="J560" s="34"/>
    </row>
    <row r="561" spans="1:10">
      <c r="A561" s="49"/>
      <c r="B561" s="50"/>
      <c r="C561" s="18"/>
      <c r="D561" s="18"/>
      <c r="E561" s="18"/>
      <c r="F561" s="58"/>
      <c r="G561" s="18"/>
      <c r="H561" s="34"/>
      <c r="I561" s="34"/>
      <c r="J561" s="34"/>
    </row>
    <row r="562" spans="1:10">
      <c r="A562" s="49"/>
      <c r="B562" s="50"/>
      <c r="C562" s="18"/>
      <c r="D562" s="18"/>
      <c r="E562" s="18"/>
      <c r="F562" s="58"/>
      <c r="G562" s="18"/>
      <c r="H562" s="34"/>
      <c r="I562" s="34"/>
      <c r="J562" s="34"/>
    </row>
    <row r="563" spans="1:10">
      <c r="A563" s="49"/>
      <c r="B563" s="50"/>
      <c r="C563" s="18"/>
      <c r="D563" s="18"/>
      <c r="E563" s="18"/>
      <c r="F563" s="58"/>
      <c r="G563" s="18"/>
      <c r="H563" s="34"/>
      <c r="I563" s="34"/>
      <c r="J563" s="34"/>
    </row>
    <row r="564" spans="1:10">
      <c r="A564" s="49"/>
      <c r="B564" s="50"/>
      <c r="C564" s="18"/>
      <c r="D564" s="18"/>
      <c r="E564" s="18"/>
      <c r="F564" s="58"/>
      <c r="G564" s="18"/>
      <c r="H564" s="34"/>
      <c r="I564" s="34"/>
      <c r="J564" s="34"/>
    </row>
    <row r="565" spans="1:10">
      <c r="A565" s="49"/>
      <c r="B565" s="50"/>
      <c r="C565" s="18"/>
      <c r="D565" s="18"/>
      <c r="E565" s="18"/>
      <c r="F565" s="58"/>
      <c r="G565" s="18"/>
      <c r="H565" s="34"/>
      <c r="I565" s="34"/>
      <c r="J565" s="34"/>
    </row>
    <row r="566" spans="1:10">
      <c r="A566" s="49"/>
      <c r="B566" s="50"/>
      <c r="C566" s="18"/>
      <c r="D566" s="18"/>
      <c r="E566" s="18"/>
      <c r="F566" s="58"/>
      <c r="G566" s="18"/>
      <c r="H566" s="34"/>
      <c r="I566" s="34"/>
      <c r="J566" s="34"/>
    </row>
    <row r="567" spans="1:10">
      <c r="A567" s="49"/>
      <c r="B567" s="50"/>
      <c r="C567" s="18"/>
      <c r="D567" s="18"/>
      <c r="E567" s="18"/>
      <c r="F567" s="58"/>
      <c r="G567" s="18"/>
      <c r="H567" s="34"/>
      <c r="I567" s="34"/>
      <c r="J567" s="34"/>
    </row>
    <row r="568" spans="1:10">
      <c r="A568" s="49"/>
      <c r="B568" s="50"/>
      <c r="C568" s="18"/>
      <c r="D568" s="18"/>
      <c r="E568" s="18"/>
      <c r="F568" s="58"/>
      <c r="G568" s="18"/>
      <c r="H568" s="34"/>
      <c r="I568" s="34"/>
      <c r="J568" s="34"/>
    </row>
    <row r="569" spans="1:10">
      <c r="A569" s="49"/>
      <c r="B569" s="50"/>
      <c r="C569" s="18"/>
      <c r="D569" s="18"/>
      <c r="E569" s="18"/>
      <c r="F569" s="58"/>
      <c r="G569" s="18"/>
      <c r="H569" s="34"/>
      <c r="I569" s="34"/>
      <c r="J569" s="34"/>
    </row>
    <row r="570" spans="1:10">
      <c r="A570" s="49"/>
      <c r="B570" s="50"/>
      <c r="C570" s="18"/>
      <c r="D570" s="18"/>
      <c r="E570" s="18"/>
      <c r="F570" s="58"/>
      <c r="G570" s="18"/>
      <c r="H570" s="34"/>
      <c r="I570" s="34"/>
      <c r="J570" s="34"/>
    </row>
    <row r="571" spans="1:10">
      <c r="A571" s="49"/>
      <c r="B571" s="50"/>
      <c r="C571" s="18"/>
      <c r="D571" s="18"/>
      <c r="E571" s="18"/>
      <c r="F571" s="58"/>
      <c r="G571" s="18"/>
      <c r="H571" s="34"/>
      <c r="I571" s="34"/>
      <c r="J571" s="34"/>
    </row>
    <row r="572" spans="1:10">
      <c r="A572" s="49"/>
      <c r="B572" s="50"/>
      <c r="C572" s="18"/>
      <c r="D572" s="18"/>
      <c r="E572" s="18"/>
      <c r="F572" s="58"/>
      <c r="G572" s="18"/>
      <c r="H572" s="34"/>
      <c r="I572" s="34"/>
      <c r="J572" s="34"/>
    </row>
    <row r="573" spans="1:10">
      <c r="A573" s="49"/>
      <c r="B573" s="50"/>
      <c r="C573" s="18"/>
      <c r="D573" s="18"/>
      <c r="E573" s="18"/>
      <c r="F573" s="58"/>
      <c r="G573" s="18"/>
      <c r="H573" s="34"/>
      <c r="I573" s="34"/>
      <c r="J573" s="34"/>
    </row>
    <row r="574" spans="1:10">
      <c r="A574" s="49"/>
      <c r="B574" s="50"/>
      <c r="C574" s="18"/>
      <c r="D574" s="18"/>
      <c r="E574" s="18"/>
      <c r="F574" s="58"/>
      <c r="G574" s="18"/>
      <c r="H574" s="34"/>
      <c r="I574" s="34"/>
      <c r="J574" s="34"/>
    </row>
    <row r="575" spans="1:10">
      <c r="A575" s="49"/>
      <c r="B575" s="50"/>
      <c r="C575" s="18"/>
      <c r="D575" s="18"/>
      <c r="E575" s="18"/>
      <c r="F575" s="58"/>
      <c r="G575" s="18"/>
      <c r="H575" s="34"/>
      <c r="I575" s="34"/>
      <c r="J575" s="34"/>
    </row>
    <row r="576" spans="1:10">
      <c r="A576" s="49"/>
      <c r="B576" s="50"/>
      <c r="C576" s="18"/>
      <c r="D576" s="18"/>
      <c r="E576" s="18"/>
      <c r="F576" s="58"/>
      <c r="G576" s="18"/>
      <c r="H576" s="34"/>
      <c r="I576" s="34"/>
      <c r="J576" s="34"/>
    </row>
    <row r="577" spans="1:10">
      <c r="A577" s="49"/>
      <c r="B577" s="50"/>
      <c r="C577" s="18"/>
      <c r="D577" s="18"/>
      <c r="E577" s="18"/>
      <c r="F577" s="58"/>
      <c r="G577" s="18"/>
      <c r="H577" s="34"/>
      <c r="I577" s="34"/>
      <c r="J577" s="34"/>
    </row>
    <row r="578" spans="1:10">
      <c r="A578" s="49"/>
      <c r="B578" s="50"/>
      <c r="C578" s="18"/>
      <c r="D578" s="18"/>
      <c r="E578" s="18"/>
      <c r="F578" s="58"/>
      <c r="G578" s="18"/>
      <c r="H578" s="34"/>
      <c r="I578" s="34"/>
      <c r="J578" s="34"/>
    </row>
    <row r="579" spans="1:10">
      <c r="A579" s="49"/>
      <c r="B579" s="50"/>
      <c r="C579" s="18"/>
      <c r="D579" s="18"/>
      <c r="E579" s="18"/>
      <c r="F579" s="58"/>
      <c r="G579" s="18"/>
      <c r="H579" s="34"/>
      <c r="I579" s="34"/>
      <c r="J579" s="34"/>
    </row>
    <row r="580" spans="1:10">
      <c r="A580" s="49"/>
      <c r="B580" s="50"/>
      <c r="C580" s="18"/>
      <c r="D580" s="18"/>
      <c r="E580" s="18"/>
      <c r="F580" s="58"/>
      <c r="G580" s="18"/>
      <c r="H580" s="34"/>
      <c r="I580" s="34"/>
      <c r="J580" s="34"/>
    </row>
    <row r="581" spans="1:10">
      <c r="A581" s="49"/>
      <c r="B581" s="50"/>
      <c r="C581" s="18"/>
      <c r="D581" s="18"/>
      <c r="E581" s="18"/>
      <c r="F581" s="58"/>
      <c r="G581" s="18"/>
      <c r="H581" s="34"/>
      <c r="I581" s="34"/>
      <c r="J581" s="34"/>
    </row>
    <row r="582" spans="1:10">
      <c r="A582" s="49"/>
      <c r="B582" s="50"/>
      <c r="C582" s="18"/>
      <c r="D582" s="18"/>
      <c r="E582" s="18"/>
      <c r="F582" s="58"/>
      <c r="G582" s="18"/>
      <c r="H582" s="34"/>
      <c r="I582" s="34"/>
      <c r="J582" s="34"/>
    </row>
    <row r="583" spans="1:10">
      <c r="A583" s="49"/>
      <c r="B583" s="50"/>
      <c r="C583" s="18"/>
      <c r="D583" s="18"/>
      <c r="E583" s="18"/>
      <c r="F583" s="58"/>
      <c r="G583" s="18"/>
      <c r="H583" s="34"/>
      <c r="I583" s="34"/>
      <c r="J583" s="34"/>
    </row>
    <row r="584" spans="1:10">
      <c r="A584" s="49"/>
      <c r="B584" s="50"/>
      <c r="C584" s="18"/>
      <c r="D584" s="18"/>
      <c r="E584" s="18"/>
      <c r="F584" s="58"/>
      <c r="G584" s="18"/>
      <c r="H584" s="34"/>
      <c r="I584" s="34"/>
      <c r="J584" s="34"/>
    </row>
    <row r="585" spans="1:10">
      <c r="A585" s="49"/>
      <c r="B585" s="50"/>
      <c r="C585" s="18"/>
      <c r="D585" s="18"/>
      <c r="E585" s="18"/>
      <c r="F585" s="58"/>
      <c r="G585" s="18"/>
      <c r="H585" s="34"/>
      <c r="I585" s="34"/>
      <c r="J585" s="34"/>
    </row>
    <row r="586" spans="1:10">
      <c r="A586" s="49"/>
      <c r="B586" s="50"/>
      <c r="C586" s="18"/>
      <c r="D586" s="18"/>
      <c r="E586" s="18"/>
      <c r="F586" s="58"/>
      <c r="G586" s="18"/>
      <c r="H586" s="34"/>
      <c r="I586" s="34"/>
      <c r="J586" s="34"/>
    </row>
    <row r="587" spans="1:10">
      <c r="A587" s="49"/>
      <c r="B587" s="50"/>
      <c r="C587" s="18"/>
      <c r="D587" s="18"/>
      <c r="E587" s="18"/>
      <c r="F587" s="58"/>
      <c r="G587" s="18"/>
      <c r="H587" s="34"/>
      <c r="I587" s="34"/>
      <c r="J587" s="34"/>
    </row>
    <row r="588" spans="1:10">
      <c r="A588" s="49"/>
      <c r="B588" s="50"/>
      <c r="C588" s="18"/>
      <c r="D588" s="18"/>
      <c r="E588" s="18"/>
      <c r="F588" s="58"/>
      <c r="G588" s="18"/>
      <c r="H588" s="34"/>
      <c r="I588" s="34"/>
      <c r="J588" s="34"/>
    </row>
    <row r="589" spans="1:10">
      <c r="A589" s="49"/>
      <c r="B589" s="50"/>
      <c r="C589" s="18"/>
      <c r="D589" s="18"/>
      <c r="E589" s="18"/>
      <c r="F589" s="58"/>
      <c r="G589" s="18"/>
      <c r="H589" s="34"/>
      <c r="I589" s="34"/>
      <c r="J589" s="34"/>
    </row>
    <row r="590" spans="1:10">
      <c r="A590" s="49"/>
      <c r="B590" s="50"/>
      <c r="C590" s="18"/>
      <c r="D590" s="18"/>
      <c r="E590" s="18"/>
      <c r="F590" s="58"/>
      <c r="G590" s="18"/>
      <c r="H590" s="34"/>
      <c r="I590" s="34"/>
      <c r="J590" s="34"/>
    </row>
    <row r="591" spans="1:10">
      <c r="A591" s="49"/>
      <c r="B591" s="50"/>
      <c r="C591" s="18"/>
      <c r="D591" s="18"/>
      <c r="E591" s="18"/>
      <c r="F591" s="58"/>
      <c r="G591" s="18"/>
      <c r="H591" s="34"/>
      <c r="I591" s="34"/>
      <c r="J591" s="34"/>
    </row>
    <row r="592" spans="1:10">
      <c r="A592" s="49"/>
      <c r="B592" s="50"/>
      <c r="C592" s="18"/>
      <c r="D592" s="18"/>
      <c r="E592" s="18"/>
      <c r="F592" s="58"/>
      <c r="G592" s="18"/>
      <c r="H592" s="34"/>
      <c r="I592" s="34"/>
      <c r="J592" s="34"/>
    </row>
    <row r="593" spans="1:10">
      <c r="A593" s="49"/>
      <c r="B593" s="50"/>
      <c r="C593" s="18"/>
      <c r="D593" s="18"/>
      <c r="E593" s="18"/>
      <c r="F593" s="58"/>
      <c r="G593" s="18"/>
      <c r="H593" s="34"/>
      <c r="I593" s="34"/>
      <c r="J593" s="34"/>
    </row>
    <row r="594" spans="1:10">
      <c r="A594" s="49"/>
      <c r="B594" s="50"/>
      <c r="C594" s="18"/>
      <c r="D594" s="18"/>
      <c r="E594" s="18"/>
      <c r="F594" s="58"/>
      <c r="G594" s="18"/>
      <c r="H594" s="34"/>
      <c r="I594" s="34"/>
      <c r="J594" s="34"/>
    </row>
    <row r="595" spans="1:10">
      <c r="A595" s="49"/>
      <c r="B595" s="50"/>
      <c r="C595" s="18"/>
      <c r="D595" s="18"/>
      <c r="E595" s="18"/>
      <c r="F595" s="58"/>
      <c r="G595" s="18"/>
      <c r="H595" s="34"/>
      <c r="I595" s="34"/>
      <c r="J595" s="34"/>
    </row>
    <row r="596" spans="1:10">
      <c r="A596" s="49"/>
      <c r="B596" s="50"/>
      <c r="C596" s="18"/>
      <c r="D596" s="18"/>
      <c r="E596" s="18"/>
      <c r="F596" s="58"/>
      <c r="G596" s="18"/>
      <c r="H596" s="34"/>
      <c r="I596" s="34"/>
      <c r="J596" s="34"/>
    </row>
    <row r="597" spans="1:10">
      <c r="A597" s="49"/>
      <c r="B597" s="50"/>
      <c r="C597" s="18"/>
      <c r="D597" s="18"/>
      <c r="E597" s="18"/>
      <c r="F597" s="58"/>
      <c r="G597" s="18"/>
      <c r="H597" s="34"/>
      <c r="I597" s="34"/>
      <c r="J597" s="34"/>
    </row>
    <row r="598" spans="1:10">
      <c r="A598" s="49"/>
      <c r="B598" s="50"/>
      <c r="C598" s="18"/>
      <c r="D598" s="18"/>
      <c r="E598" s="18"/>
      <c r="F598" s="58"/>
      <c r="G598" s="18"/>
      <c r="H598" s="34"/>
      <c r="I598" s="34"/>
      <c r="J598" s="34"/>
    </row>
    <row r="599" spans="1:10">
      <c r="A599" s="49"/>
      <c r="B599" s="50"/>
      <c r="C599" s="18"/>
      <c r="D599" s="18"/>
      <c r="E599" s="18"/>
      <c r="F599" s="58"/>
      <c r="G599" s="18"/>
      <c r="H599" s="34"/>
      <c r="I599" s="34"/>
      <c r="J599" s="34"/>
    </row>
    <row r="600" spans="1:10">
      <c r="A600" s="49"/>
      <c r="B600" s="50"/>
      <c r="C600" s="18"/>
      <c r="D600" s="18"/>
      <c r="E600" s="18"/>
      <c r="F600" s="58"/>
      <c r="G600" s="18"/>
      <c r="H600" s="34"/>
      <c r="I600" s="34"/>
      <c r="J600" s="34"/>
    </row>
    <row r="601" spans="1:10">
      <c r="A601" s="49"/>
      <c r="B601" s="50"/>
      <c r="C601" s="18"/>
      <c r="D601" s="18"/>
      <c r="E601" s="18"/>
      <c r="F601" s="58"/>
      <c r="G601" s="18"/>
      <c r="H601" s="34"/>
      <c r="I601" s="34"/>
      <c r="J601" s="34"/>
    </row>
    <row r="602" spans="1:10">
      <c r="A602" s="49"/>
      <c r="B602" s="50"/>
      <c r="C602" s="18"/>
      <c r="D602" s="18"/>
      <c r="E602" s="18"/>
      <c r="F602" s="58"/>
      <c r="G602" s="18"/>
      <c r="H602" s="34"/>
      <c r="I602" s="34"/>
      <c r="J602" s="34"/>
    </row>
    <row r="603" spans="1:10">
      <c r="A603" s="49"/>
      <c r="B603" s="50"/>
      <c r="C603" s="18"/>
      <c r="D603" s="18"/>
      <c r="E603" s="18"/>
      <c r="F603" s="58"/>
      <c r="G603" s="18"/>
      <c r="H603" s="34"/>
      <c r="I603" s="34"/>
      <c r="J603" s="34"/>
    </row>
    <row r="604" spans="1:10">
      <c r="A604" s="49"/>
      <c r="B604" s="50"/>
      <c r="C604" s="18"/>
      <c r="D604" s="18"/>
      <c r="E604" s="18"/>
      <c r="F604" s="58"/>
      <c r="G604" s="18"/>
      <c r="H604" s="34"/>
      <c r="I604" s="34"/>
      <c r="J604" s="34"/>
    </row>
    <row r="605" spans="1:10">
      <c r="A605" s="49"/>
      <c r="B605" s="50"/>
      <c r="C605" s="18"/>
      <c r="D605" s="18"/>
      <c r="E605" s="18"/>
      <c r="F605" s="58"/>
      <c r="G605" s="18"/>
      <c r="H605" s="34"/>
      <c r="I605" s="34"/>
      <c r="J605" s="34"/>
    </row>
    <row r="606" spans="1:10">
      <c r="A606" s="49"/>
      <c r="B606" s="50"/>
      <c r="C606" s="18"/>
      <c r="D606" s="18"/>
      <c r="E606" s="18"/>
      <c r="F606" s="58"/>
      <c r="G606" s="18"/>
      <c r="H606" s="34"/>
      <c r="I606" s="34"/>
      <c r="J606" s="34"/>
    </row>
    <row r="607" spans="1:10">
      <c r="A607" s="49"/>
      <c r="B607" s="50"/>
      <c r="C607" s="18"/>
      <c r="D607" s="18"/>
      <c r="E607" s="18"/>
      <c r="F607" s="58"/>
      <c r="G607" s="18"/>
      <c r="H607" s="34"/>
      <c r="I607" s="34"/>
      <c r="J607" s="34"/>
    </row>
    <row r="608" spans="1:10">
      <c r="A608" s="49"/>
      <c r="B608" s="50"/>
      <c r="C608" s="18"/>
      <c r="D608" s="18"/>
      <c r="E608" s="18"/>
      <c r="F608" s="58"/>
      <c r="G608" s="18"/>
      <c r="H608" s="34"/>
      <c r="I608" s="34"/>
      <c r="J608" s="34"/>
    </row>
    <row r="609" spans="1:10">
      <c r="A609" s="49"/>
      <c r="B609" s="50"/>
      <c r="C609" s="18"/>
      <c r="D609" s="18"/>
      <c r="E609" s="18"/>
      <c r="F609" s="58"/>
      <c r="G609" s="18"/>
      <c r="H609" s="34"/>
      <c r="I609" s="34"/>
      <c r="J609" s="34"/>
    </row>
    <row r="610" spans="1:10">
      <c r="A610" s="49"/>
      <c r="B610" s="50"/>
      <c r="C610" s="18"/>
      <c r="D610" s="18"/>
      <c r="E610" s="18"/>
      <c r="F610" s="58"/>
      <c r="G610" s="18"/>
      <c r="H610" s="34"/>
      <c r="I610" s="34"/>
      <c r="J610" s="34"/>
    </row>
    <row r="611" spans="1:10">
      <c r="A611" s="49"/>
      <c r="B611" s="50"/>
      <c r="C611" s="18"/>
      <c r="D611" s="18"/>
      <c r="E611" s="18"/>
      <c r="F611" s="58"/>
      <c r="G611" s="18"/>
      <c r="H611" s="34"/>
      <c r="I611" s="34"/>
      <c r="J611" s="34"/>
    </row>
    <row r="612" spans="1:10">
      <c r="A612" s="49"/>
      <c r="B612" s="50"/>
      <c r="C612" s="18"/>
      <c r="D612" s="18"/>
      <c r="E612" s="18"/>
      <c r="F612" s="58"/>
      <c r="G612" s="18"/>
      <c r="H612" s="34"/>
      <c r="I612" s="34"/>
      <c r="J612" s="34"/>
    </row>
    <row r="613" spans="1:10">
      <c r="A613" s="49"/>
      <c r="B613" s="50"/>
      <c r="C613" s="18"/>
      <c r="D613" s="18"/>
      <c r="E613" s="18"/>
      <c r="F613" s="58"/>
      <c r="G613" s="18"/>
      <c r="H613" s="34"/>
      <c r="I613" s="34"/>
      <c r="J613" s="34"/>
    </row>
    <row r="614" spans="1:10">
      <c r="A614" s="49"/>
      <c r="B614" s="50"/>
      <c r="C614" s="18"/>
      <c r="D614" s="18"/>
      <c r="E614" s="18"/>
      <c r="F614" s="58"/>
      <c r="G614" s="18"/>
      <c r="H614" s="34"/>
      <c r="I614" s="34"/>
      <c r="J614" s="34"/>
    </row>
    <row r="615" spans="1:10">
      <c r="A615" s="49"/>
      <c r="B615" s="50"/>
      <c r="C615" s="18"/>
      <c r="D615" s="18"/>
      <c r="E615" s="18"/>
      <c r="F615" s="58"/>
      <c r="G615" s="18"/>
      <c r="H615" s="34"/>
      <c r="I615" s="34"/>
      <c r="J615" s="34"/>
    </row>
    <row r="616" spans="1:10">
      <c r="A616" s="49"/>
      <c r="B616" s="50"/>
      <c r="C616" s="18"/>
      <c r="D616" s="18"/>
      <c r="E616" s="18"/>
      <c r="F616" s="58"/>
      <c r="G616" s="18"/>
      <c r="H616" s="34"/>
      <c r="I616" s="34"/>
      <c r="J616" s="34"/>
    </row>
    <row r="617" spans="1:10">
      <c r="A617" s="49"/>
      <c r="B617" s="50"/>
      <c r="C617" s="18"/>
      <c r="D617" s="18"/>
      <c r="E617" s="18"/>
      <c r="F617" s="58"/>
      <c r="G617" s="18"/>
      <c r="H617" s="34"/>
      <c r="I617" s="34"/>
      <c r="J617" s="34"/>
    </row>
    <row r="618" spans="1:10">
      <c r="A618" s="49"/>
      <c r="B618" s="50"/>
      <c r="C618" s="18"/>
      <c r="D618" s="18"/>
      <c r="E618" s="18"/>
      <c r="F618" s="58"/>
      <c r="G618" s="18"/>
      <c r="H618" s="34"/>
      <c r="I618" s="34"/>
      <c r="J618" s="34"/>
    </row>
    <row r="619" spans="1:10">
      <c r="A619" s="49"/>
      <c r="B619" s="50"/>
      <c r="C619" s="18"/>
      <c r="D619" s="18"/>
      <c r="E619" s="18"/>
      <c r="F619" s="58"/>
      <c r="G619" s="18"/>
      <c r="H619" s="34"/>
      <c r="I619" s="34"/>
      <c r="J619" s="34"/>
    </row>
    <row r="620" spans="1:10">
      <c r="A620" s="49"/>
      <c r="B620" s="50"/>
      <c r="C620" s="18"/>
      <c r="D620" s="18"/>
      <c r="E620" s="18"/>
      <c r="F620" s="58"/>
      <c r="G620" s="18"/>
      <c r="H620" s="34"/>
      <c r="I620" s="34"/>
      <c r="J620" s="34"/>
    </row>
    <row r="621" spans="1:10">
      <c r="A621" s="49"/>
      <c r="B621" s="50"/>
      <c r="C621" s="18"/>
      <c r="D621" s="18"/>
      <c r="E621" s="18"/>
      <c r="F621" s="58"/>
      <c r="G621" s="18"/>
      <c r="H621" s="34"/>
      <c r="I621" s="34"/>
      <c r="J621" s="34"/>
    </row>
    <row r="622" spans="1:10">
      <c r="A622" s="49"/>
      <c r="B622" s="50"/>
      <c r="C622" s="18"/>
      <c r="D622" s="18"/>
      <c r="E622" s="18"/>
      <c r="F622" s="58"/>
      <c r="G622" s="18"/>
      <c r="H622" s="34"/>
      <c r="I622" s="34"/>
      <c r="J622" s="34"/>
    </row>
    <row r="623" spans="1:10">
      <c r="A623" s="49"/>
      <c r="B623" s="50"/>
      <c r="C623" s="18"/>
      <c r="D623" s="18"/>
      <c r="E623" s="18"/>
      <c r="F623" s="58"/>
      <c r="G623" s="18"/>
      <c r="H623" s="34"/>
      <c r="I623" s="34"/>
      <c r="J623" s="34"/>
    </row>
    <row r="624" spans="1:10">
      <c r="A624" s="49"/>
      <c r="B624" s="50"/>
      <c r="C624" s="18"/>
      <c r="D624" s="18"/>
      <c r="E624" s="18"/>
      <c r="F624" s="58"/>
      <c r="G624" s="18"/>
      <c r="H624" s="34"/>
      <c r="I624" s="34"/>
      <c r="J624" s="34"/>
    </row>
    <row r="625" spans="1:10">
      <c r="A625" s="49"/>
      <c r="B625" s="50"/>
      <c r="C625" s="18"/>
      <c r="D625" s="18"/>
      <c r="E625" s="18"/>
      <c r="F625" s="58"/>
      <c r="G625" s="18"/>
      <c r="H625" s="34"/>
      <c r="I625" s="34"/>
      <c r="J625" s="34"/>
    </row>
    <row r="626" spans="1:10">
      <c r="A626" s="49"/>
      <c r="B626" s="50"/>
      <c r="C626" s="18"/>
      <c r="D626" s="18"/>
      <c r="E626" s="18"/>
      <c r="F626" s="58"/>
      <c r="G626" s="18"/>
      <c r="H626" s="34"/>
      <c r="I626" s="34"/>
      <c r="J626" s="34"/>
    </row>
    <row r="627" spans="1:10">
      <c r="A627" s="49"/>
      <c r="B627" s="50"/>
      <c r="C627" s="18"/>
      <c r="D627" s="18"/>
      <c r="E627" s="18"/>
      <c r="F627" s="58"/>
      <c r="G627" s="18"/>
      <c r="H627" s="34"/>
      <c r="I627" s="34"/>
      <c r="J627" s="34"/>
    </row>
    <row r="628" spans="1:10">
      <c r="A628" s="49"/>
      <c r="B628" s="50"/>
      <c r="C628" s="18"/>
      <c r="D628" s="18"/>
      <c r="E628" s="18"/>
      <c r="F628" s="58"/>
      <c r="G628" s="18"/>
      <c r="H628" s="34"/>
      <c r="I628" s="34"/>
      <c r="J628" s="34"/>
    </row>
    <row r="629" spans="1:10">
      <c r="A629" s="49"/>
      <c r="B629" s="50"/>
      <c r="C629" s="18"/>
      <c r="D629" s="18"/>
      <c r="E629" s="18"/>
      <c r="F629" s="58"/>
      <c r="G629" s="18"/>
      <c r="H629" s="34"/>
      <c r="I629" s="34"/>
      <c r="J629" s="34"/>
    </row>
    <row r="630" spans="1:10">
      <c r="A630" s="49"/>
      <c r="B630" s="50"/>
      <c r="C630" s="18"/>
      <c r="D630" s="18"/>
      <c r="E630" s="18"/>
      <c r="F630" s="58"/>
      <c r="G630" s="18"/>
      <c r="H630" s="34"/>
      <c r="I630" s="34"/>
      <c r="J630" s="34"/>
    </row>
    <row r="631" spans="1:10">
      <c r="A631" s="49"/>
      <c r="B631" s="50"/>
      <c r="C631" s="18"/>
      <c r="D631" s="18"/>
      <c r="E631" s="18"/>
      <c r="F631" s="58"/>
      <c r="G631" s="18"/>
      <c r="H631" s="34"/>
      <c r="I631" s="34"/>
      <c r="J631" s="34"/>
    </row>
    <row r="632" spans="1:10">
      <c r="A632" s="49"/>
      <c r="B632" s="50"/>
      <c r="C632" s="18"/>
      <c r="D632" s="18"/>
      <c r="E632" s="18"/>
      <c r="F632" s="58"/>
      <c r="G632" s="18"/>
      <c r="H632" s="34"/>
      <c r="I632" s="34"/>
      <c r="J632" s="34"/>
    </row>
    <row r="633" spans="1:10">
      <c r="A633" s="49"/>
      <c r="B633" s="50"/>
      <c r="C633" s="18"/>
      <c r="D633" s="18"/>
      <c r="E633" s="18"/>
      <c r="F633" s="58"/>
      <c r="G633" s="18"/>
      <c r="H633" s="34"/>
      <c r="I633" s="34"/>
      <c r="J633" s="34"/>
    </row>
    <row r="634" spans="1:10">
      <c r="A634" s="49"/>
      <c r="B634" s="50"/>
      <c r="C634" s="18"/>
      <c r="D634" s="18"/>
      <c r="E634" s="18"/>
      <c r="F634" s="58"/>
      <c r="G634" s="18"/>
      <c r="H634" s="34"/>
      <c r="I634" s="34"/>
      <c r="J634" s="34"/>
    </row>
    <row r="635" spans="1:10">
      <c r="A635" s="49"/>
      <c r="B635" s="50"/>
      <c r="C635" s="18"/>
      <c r="D635" s="18"/>
      <c r="E635" s="18"/>
      <c r="F635" s="58"/>
      <c r="G635" s="18"/>
      <c r="H635" s="34"/>
      <c r="I635" s="34"/>
      <c r="J635" s="34"/>
    </row>
    <row r="636" spans="1:10">
      <c r="A636" s="49"/>
      <c r="B636" s="50"/>
      <c r="C636" s="18"/>
      <c r="D636" s="18"/>
      <c r="E636" s="18"/>
      <c r="F636" s="58"/>
      <c r="G636" s="18"/>
      <c r="H636" s="34"/>
      <c r="I636" s="34"/>
      <c r="J636" s="34"/>
    </row>
    <row r="637" spans="1:10">
      <c r="A637" s="49"/>
      <c r="B637" s="50"/>
      <c r="C637" s="18"/>
      <c r="D637" s="18"/>
      <c r="E637" s="18"/>
      <c r="F637" s="58"/>
      <c r="G637" s="18"/>
      <c r="H637" s="34"/>
      <c r="I637" s="34"/>
      <c r="J637" s="34"/>
    </row>
    <row r="638" spans="1:10">
      <c r="A638" s="49"/>
      <c r="B638" s="50"/>
      <c r="C638" s="18"/>
      <c r="D638" s="18"/>
      <c r="E638" s="18"/>
      <c r="F638" s="58"/>
      <c r="G638" s="18"/>
      <c r="H638" s="34"/>
      <c r="I638" s="34"/>
      <c r="J638" s="34"/>
    </row>
    <row r="639" spans="1:10">
      <c r="A639" s="49"/>
      <c r="B639" s="50"/>
      <c r="C639" s="18"/>
      <c r="D639" s="18"/>
      <c r="E639" s="18"/>
      <c r="F639" s="58"/>
      <c r="G639" s="18"/>
      <c r="H639" s="34"/>
      <c r="I639" s="34"/>
      <c r="J639" s="34"/>
    </row>
    <row r="640" spans="1:10">
      <c r="A640" s="49"/>
      <c r="B640" s="50"/>
      <c r="C640" s="18"/>
      <c r="D640" s="18"/>
      <c r="E640" s="18"/>
      <c r="F640" s="58"/>
      <c r="G640" s="18"/>
      <c r="H640" s="34"/>
      <c r="I640" s="34"/>
      <c r="J640" s="34"/>
    </row>
    <row r="641" spans="1:10">
      <c r="A641" s="49"/>
      <c r="B641" s="50"/>
      <c r="C641" s="18"/>
      <c r="D641" s="18"/>
      <c r="E641" s="18"/>
      <c r="F641" s="58"/>
      <c r="G641" s="18"/>
      <c r="H641" s="34"/>
      <c r="I641" s="34"/>
      <c r="J641" s="34"/>
    </row>
    <row r="642" spans="1:10">
      <c r="A642" s="49"/>
      <c r="B642" s="50"/>
      <c r="C642" s="18"/>
      <c r="D642" s="18"/>
      <c r="E642" s="18"/>
      <c r="F642" s="58"/>
      <c r="G642" s="18"/>
      <c r="H642" s="34"/>
      <c r="I642" s="34"/>
      <c r="J642" s="34"/>
    </row>
    <row r="643" spans="1:10">
      <c r="A643" s="49"/>
      <c r="B643" s="50"/>
      <c r="C643" s="18"/>
      <c r="D643" s="18"/>
      <c r="E643" s="18"/>
      <c r="F643" s="58"/>
      <c r="G643" s="18"/>
      <c r="H643" s="34"/>
      <c r="I643" s="34"/>
      <c r="J643" s="34"/>
    </row>
    <row r="644" spans="1:10">
      <c r="A644" s="49"/>
      <c r="B644" s="50"/>
      <c r="C644" s="18"/>
      <c r="D644" s="18"/>
      <c r="E644" s="18"/>
      <c r="F644" s="58"/>
      <c r="G644" s="18"/>
      <c r="H644" s="34"/>
      <c r="I644" s="34"/>
      <c r="J644" s="34"/>
    </row>
    <row r="645" spans="1:10">
      <c r="A645" s="49"/>
      <c r="B645" s="50"/>
      <c r="C645" s="18"/>
      <c r="D645" s="18"/>
      <c r="E645" s="18"/>
      <c r="F645" s="58"/>
      <c r="G645" s="18"/>
      <c r="H645" s="34"/>
      <c r="I645" s="34"/>
      <c r="J645" s="34"/>
    </row>
    <row r="646" spans="1:10">
      <c r="A646" s="49"/>
      <c r="B646" s="50"/>
      <c r="C646" s="18"/>
      <c r="D646" s="18"/>
      <c r="E646" s="18"/>
      <c r="F646" s="58"/>
      <c r="G646" s="18"/>
      <c r="H646" s="34"/>
      <c r="I646" s="34"/>
      <c r="J646" s="34"/>
    </row>
    <row r="647" spans="1:10">
      <c r="A647" s="49"/>
      <c r="B647" s="50"/>
      <c r="C647" s="18"/>
      <c r="D647" s="18"/>
      <c r="E647" s="18"/>
      <c r="F647" s="58"/>
      <c r="G647" s="18"/>
      <c r="H647" s="34"/>
      <c r="I647" s="34"/>
      <c r="J647" s="34"/>
    </row>
    <row r="648" spans="1:10">
      <c r="A648" s="49"/>
      <c r="B648" s="50"/>
      <c r="C648" s="18"/>
      <c r="D648" s="18"/>
      <c r="E648" s="18"/>
      <c r="F648" s="58"/>
      <c r="G648" s="18"/>
      <c r="H648" s="34"/>
      <c r="I648" s="34"/>
      <c r="J648" s="34"/>
    </row>
    <row r="649" spans="1:10">
      <c r="A649" s="49"/>
      <c r="B649" s="50"/>
      <c r="C649" s="18"/>
      <c r="D649" s="18"/>
      <c r="E649" s="18"/>
      <c r="F649" s="58"/>
      <c r="G649" s="18"/>
      <c r="H649" s="34"/>
      <c r="I649" s="34"/>
      <c r="J649" s="34"/>
    </row>
    <row r="650" spans="1:10">
      <c r="A650" s="49"/>
      <c r="B650" s="50"/>
      <c r="C650" s="18"/>
      <c r="D650" s="18"/>
      <c r="E650" s="18"/>
      <c r="F650" s="58"/>
      <c r="G650" s="18"/>
      <c r="H650" s="34"/>
      <c r="I650" s="34"/>
      <c r="J650" s="34"/>
    </row>
    <row r="651" spans="1:10">
      <c r="A651" s="49"/>
      <c r="B651" s="50"/>
      <c r="C651" s="18"/>
      <c r="D651" s="18"/>
      <c r="E651" s="18"/>
      <c r="F651" s="58"/>
      <c r="G651" s="18"/>
      <c r="H651" s="34"/>
      <c r="I651" s="34"/>
      <c r="J651" s="34"/>
    </row>
    <row r="652" spans="1:10">
      <c r="A652" s="49"/>
      <c r="B652" s="50"/>
      <c r="C652" s="18"/>
      <c r="D652" s="18"/>
      <c r="E652" s="18"/>
      <c r="F652" s="58"/>
      <c r="G652" s="18"/>
      <c r="H652" s="34"/>
      <c r="I652" s="34"/>
      <c r="J652" s="34"/>
    </row>
    <row r="653" spans="1:10">
      <c r="A653" s="49"/>
      <c r="B653" s="50"/>
      <c r="C653" s="18"/>
      <c r="D653" s="18"/>
      <c r="E653" s="18"/>
      <c r="F653" s="58"/>
      <c r="G653" s="18"/>
      <c r="H653" s="34"/>
      <c r="I653" s="34"/>
      <c r="J653" s="34"/>
    </row>
    <row r="654" spans="1:10">
      <c r="A654" s="49"/>
      <c r="B654" s="50"/>
      <c r="C654" s="18"/>
      <c r="D654" s="18"/>
      <c r="E654" s="18"/>
      <c r="F654" s="58"/>
      <c r="G654" s="18"/>
      <c r="H654" s="34"/>
      <c r="I654" s="34"/>
      <c r="J654" s="34"/>
    </row>
    <row r="655" spans="1:10">
      <c r="A655" s="49"/>
      <c r="B655" s="50"/>
      <c r="C655" s="18"/>
      <c r="D655" s="18"/>
      <c r="E655" s="18"/>
      <c r="F655" s="58"/>
      <c r="G655" s="18"/>
      <c r="H655" s="34"/>
      <c r="I655" s="34"/>
      <c r="J655" s="34"/>
    </row>
    <row r="656" spans="1:10">
      <c r="A656" s="49"/>
      <c r="B656" s="50"/>
      <c r="C656" s="18"/>
      <c r="D656" s="18"/>
      <c r="E656" s="18"/>
      <c r="F656" s="58"/>
      <c r="G656" s="18"/>
      <c r="H656" s="34"/>
      <c r="I656" s="34"/>
      <c r="J656" s="34"/>
    </row>
    <row r="657" spans="1:10">
      <c r="A657" s="49"/>
      <c r="B657" s="50"/>
      <c r="C657" s="18"/>
      <c r="D657" s="18"/>
      <c r="E657" s="18"/>
      <c r="F657" s="58"/>
      <c r="G657" s="18"/>
      <c r="H657" s="34"/>
      <c r="I657" s="34"/>
      <c r="J657" s="34"/>
    </row>
    <row r="658" spans="1:10">
      <c r="A658" s="49"/>
      <c r="B658" s="50"/>
      <c r="C658" s="18"/>
      <c r="D658" s="18"/>
      <c r="E658" s="18"/>
      <c r="F658" s="58"/>
      <c r="G658" s="18"/>
      <c r="H658" s="34"/>
      <c r="I658" s="34"/>
      <c r="J658" s="34"/>
    </row>
    <row r="659" spans="1:10">
      <c r="A659" s="49"/>
      <c r="B659" s="50"/>
      <c r="C659" s="18"/>
      <c r="D659" s="18"/>
      <c r="E659" s="18"/>
      <c r="F659" s="58"/>
      <c r="G659" s="18"/>
      <c r="H659" s="34"/>
      <c r="I659" s="34"/>
      <c r="J659" s="34"/>
    </row>
    <row r="660" spans="1:10">
      <c r="A660" s="49"/>
      <c r="B660" s="50"/>
      <c r="C660" s="18"/>
      <c r="D660" s="18"/>
      <c r="E660" s="18"/>
      <c r="F660" s="58"/>
      <c r="G660" s="18"/>
      <c r="H660" s="34"/>
      <c r="I660" s="34"/>
      <c r="J660" s="34"/>
    </row>
    <row r="661" spans="1:10">
      <c r="A661" s="49"/>
      <c r="B661" s="50"/>
      <c r="C661" s="18"/>
      <c r="D661" s="18"/>
      <c r="E661" s="18"/>
      <c r="F661" s="58"/>
      <c r="G661" s="18"/>
      <c r="H661" s="34"/>
      <c r="I661" s="34"/>
      <c r="J661" s="34"/>
    </row>
    <row r="662" spans="1:10">
      <c r="A662" s="49"/>
      <c r="B662" s="50"/>
      <c r="C662" s="18"/>
      <c r="D662" s="18"/>
      <c r="E662" s="18"/>
      <c r="F662" s="58"/>
      <c r="G662" s="18"/>
      <c r="H662" s="34"/>
      <c r="I662" s="34"/>
      <c r="J662" s="34"/>
    </row>
    <row r="663" spans="1:10">
      <c r="A663" s="49"/>
      <c r="B663" s="50"/>
      <c r="C663" s="18"/>
      <c r="D663" s="18"/>
      <c r="E663" s="18"/>
      <c r="F663" s="58"/>
      <c r="G663" s="18"/>
      <c r="H663" s="34"/>
      <c r="I663" s="34"/>
      <c r="J663" s="34"/>
    </row>
    <row r="664" spans="1:10">
      <c r="A664" s="49"/>
      <c r="B664" s="50"/>
      <c r="C664" s="18"/>
      <c r="D664" s="18"/>
      <c r="E664" s="18"/>
      <c r="F664" s="58"/>
      <c r="G664" s="18"/>
      <c r="H664" s="34"/>
      <c r="I664" s="34"/>
      <c r="J664" s="34"/>
    </row>
    <row r="665" spans="1:10">
      <c r="A665" s="49"/>
      <c r="B665" s="50"/>
      <c r="C665" s="18"/>
      <c r="D665" s="18"/>
      <c r="E665" s="18"/>
      <c r="F665" s="58"/>
      <c r="G665" s="18"/>
      <c r="H665" s="34"/>
      <c r="I665" s="34"/>
      <c r="J665" s="34"/>
    </row>
    <row r="666" spans="1:10">
      <c r="A666" s="49"/>
      <c r="B666" s="50"/>
      <c r="C666" s="18"/>
      <c r="D666" s="18"/>
      <c r="E666" s="18"/>
      <c r="F666" s="58"/>
      <c r="G666" s="18"/>
      <c r="H666" s="34"/>
      <c r="I666" s="34"/>
      <c r="J666" s="34"/>
    </row>
    <row r="667" spans="1:10">
      <c r="A667" s="49"/>
      <c r="B667" s="50"/>
      <c r="C667" s="18"/>
      <c r="D667" s="18"/>
      <c r="E667" s="18"/>
      <c r="F667" s="58"/>
      <c r="G667" s="18"/>
      <c r="H667" s="34"/>
      <c r="I667" s="34"/>
      <c r="J667" s="34"/>
    </row>
    <row r="668" spans="1:10">
      <c r="A668" s="49"/>
      <c r="B668" s="50"/>
      <c r="C668" s="18"/>
      <c r="D668" s="18"/>
      <c r="E668" s="18"/>
      <c r="F668" s="58"/>
      <c r="G668" s="18"/>
      <c r="H668" s="34"/>
      <c r="I668" s="34"/>
      <c r="J668" s="34"/>
    </row>
    <row r="669" spans="1:10">
      <c r="A669" s="49"/>
      <c r="B669" s="50"/>
      <c r="C669" s="18"/>
      <c r="D669" s="18"/>
      <c r="E669" s="18"/>
      <c r="F669" s="58"/>
      <c r="G669" s="18"/>
      <c r="H669" s="34"/>
      <c r="I669" s="34"/>
      <c r="J669" s="34"/>
    </row>
    <row r="670" spans="1:10">
      <c r="A670" s="49"/>
      <c r="B670" s="50"/>
      <c r="C670" s="18"/>
      <c r="D670" s="18"/>
      <c r="E670" s="18"/>
      <c r="F670" s="58"/>
      <c r="G670" s="18"/>
      <c r="H670" s="34"/>
      <c r="I670" s="34"/>
      <c r="J670" s="34"/>
    </row>
    <row r="671" spans="1:10">
      <c r="A671" s="49"/>
      <c r="B671" s="50"/>
      <c r="C671" s="18"/>
      <c r="D671" s="18"/>
      <c r="E671" s="18"/>
      <c r="F671" s="58"/>
      <c r="G671" s="18"/>
      <c r="H671" s="34"/>
      <c r="I671" s="34"/>
      <c r="J671" s="34"/>
    </row>
    <row r="672" spans="1:10">
      <c r="A672" s="49"/>
      <c r="B672" s="50"/>
      <c r="C672" s="18"/>
      <c r="D672" s="18"/>
      <c r="E672" s="18"/>
      <c r="F672" s="58"/>
      <c r="G672" s="18"/>
      <c r="H672" s="34"/>
      <c r="I672" s="34"/>
      <c r="J672" s="34"/>
    </row>
    <row r="673" spans="1:10">
      <c r="A673" s="49"/>
      <c r="B673" s="50"/>
      <c r="C673" s="18"/>
      <c r="D673" s="18"/>
      <c r="E673" s="18"/>
      <c r="F673" s="58"/>
      <c r="G673" s="18"/>
      <c r="H673" s="34"/>
      <c r="I673" s="34"/>
      <c r="J673" s="34"/>
    </row>
    <row r="674" spans="1:10">
      <c r="A674" s="49"/>
      <c r="B674" s="50"/>
      <c r="C674" s="18"/>
      <c r="D674" s="18"/>
      <c r="E674" s="18"/>
      <c r="F674" s="58"/>
      <c r="G674" s="18"/>
      <c r="H674" s="34"/>
      <c r="I674" s="34"/>
      <c r="J674" s="34"/>
    </row>
    <row r="675" spans="1:10">
      <c r="A675" s="49"/>
      <c r="B675" s="50"/>
      <c r="C675" s="18"/>
      <c r="D675" s="18"/>
      <c r="E675" s="18"/>
      <c r="F675" s="58"/>
      <c r="G675" s="18"/>
      <c r="H675" s="34"/>
      <c r="I675" s="34"/>
      <c r="J675" s="34"/>
    </row>
    <row r="676" spans="1:10">
      <c r="A676" s="49"/>
      <c r="B676" s="50"/>
      <c r="C676" s="18"/>
      <c r="D676" s="18"/>
      <c r="E676" s="18"/>
      <c r="F676" s="58"/>
      <c r="G676" s="18"/>
      <c r="H676" s="34"/>
      <c r="I676" s="34"/>
      <c r="J676" s="34"/>
    </row>
    <row r="677" spans="1:10">
      <c r="A677" s="49"/>
      <c r="B677" s="50"/>
      <c r="C677" s="18"/>
      <c r="D677" s="18"/>
      <c r="E677" s="18"/>
      <c r="F677" s="58"/>
      <c r="G677" s="18"/>
      <c r="H677" s="34"/>
      <c r="I677" s="34"/>
      <c r="J677" s="34"/>
    </row>
    <row r="678" spans="1:10">
      <c r="A678" s="49"/>
      <c r="B678" s="50"/>
      <c r="C678" s="18"/>
      <c r="D678" s="18"/>
      <c r="E678" s="18"/>
      <c r="F678" s="58"/>
      <c r="G678" s="18"/>
      <c r="H678" s="34"/>
      <c r="I678" s="34"/>
      <c r="J678" s="34"/>
    </row>
    <row r="679" spans="1:10">
      <c r="A679" s="49"/>
      <c r="B679" s="50"/>
      <c r="C679" s="18"/>
      <c r="D679" s="18"/>
      <c r="E679" s="18"/>
      <c r="F679" s="58"/>
      <c r="G679" s="18"/>
      <c r="H679" s="34"/>
      <c r="I679" s="34"/>
      <c r="J679" s="34"/>
    </row>
    <row r="680" spans="1:10">
      <c r="A680" s="49"/>
      <c r="B680" s="50"/>
      <c r="C680" s="18"/>
      <c r="D680" s="18"/>
      <c r="E680" s="18"/>
      <c r="F680" s="58"/>
      <c r="G680" s="18"/>
      <c r="H680" s="34"/>
      <c r="I680" s="34"/>
      <c r="J680" s="34"/>
    </row>
    <row r="681" spans="1:10">
      <c r="A681" s="49"/>
      <c r="B681" s="50"/>
      <c r="C681" s="18"/>
      <c r="D681" s="18"/>
      <c r="E681" s="18"/>
      <c r="F681" s="58"/>
      <c r="G681" s="18"/>
      <c r="H681" s="34"/>
      <c r="I681" s="34"/>
      <c r="J681" s="34"/>
    </row>
    <row r="682" spans="1:10">
      <c r="A682" s="49"/>
      <c r="B682" s="50"/>
      <c r="C682" s="18"/>
      <c r="D682" s="18"/>
      <c r="E682" s="18"/>
      <c r="F682" s="58"/>
      <c r="G682" s="18"/>
      <c r="H682" s="34"/>
      <c r="I682" s="34"/>
      <c r="J682" s="34"/>
    </row>
    <row r="683" spans="1:10">
      <c r="A683" s="49"/>
      <c r="B683" s="50"/>
      <c r="C683" s="18"/>
      <c r="D683" s="18"/>
      <c r="E683" s="18"/>
      <c r="F683" s="58"/>
      <c r="G683" s="18"/>
      <c r="H683" s="34"/>
      <c r="I683" s="34"/>
      <c r="J683" s="34"/>
    </row>
    <row r="684" spans="1:10">
      <c r="A684" s="49"/>
      <c r="B684" s="50"/>
      <c r="C684" s="18"/>
      <c r="D684" s="18"/>
      <c r="E684" s="18"/>
      <c r="F684" s="58"/>
      <c r="G684" s="18"/>
      <c r="H684" s="34"/>
      <c r="I684" s="34"/>
      <c r="J684" s="34"/>
    </row>
    <row r="685" spans="1:10">
      <c r="A685" s="49"/>
      <c r="B685" s="50"/>
      <c r="C685" s="18"/>
      <c r="D685" s="18"/>
      <c r="E685" s="18"/>
      <c r="F685" s="58"/>
      <c r="G685" s="18"/>
      <c r="H685" s="34"/>
      <c r="I685" s="34"/>
      <c r="J685" s="34"/>
    </row>
    <row r="686" spans="1:10">
      <c r="A686" s="49"/>
      <c r="B686" s="50"/>
      <c r="C686" s="18"/>
      <c r="D686" s="18"/>
      <c r="E686" s="18"/>
      <c r="F686" s="58"/>
      <c r="G686" s="18"/>
      <c r="H686" s="34"/>
      <c r="I686" s="34"/>
      <c r="J686" s="34"/>
    </row>
    <row r="687" spans="1:10">
      <c r="A687" s="49"/>
      <c r="B687" s="50"/>
      <c r="C687" s="18"/>
      <c r="D687" s="18"/>
      <c r="E687" s="18"/>
      <c r="F687" s="58"/>
      <c r="G687" s="18"/>
      <c r="H687" s="34"/>
      <c r="I687" s="34"/>
      <c r="J687" s="34"/>
    </row>
    <row r="688" spans="1:10">
      <c r="A688" s="49"/>
      <c r="B688" s="50"/>
      <c r="C688" s="18"/>
      <c r="D688" s="18"/>
      <c r="E688" s="18"/>
      <c r="F688" s="58"/>
      <c r="G688" s="18"/>
      <c r="H688" s="34"/>
      <c r="I688" s="34"/>
      <c r="J688" s="34"/>
    </row>
    <row r="689" spans="1:10">
      <c r="A689" s="49"/>
      <c r="B689" s="50"/>
      <c r="C689" s="18"/>
      <c r="D689" s="18"/>
      <c r="E689" s="18"/>
      <c r="F689" s="58"/>
      <c r="G689" s="18"/>
      <c r="H689" s="34"/>
      <c r="I689" s="34"/>
      <c r="J689" s="34"/>
    </row>
    <row r="690" spans="1:10">
      <c r="A690" s="49"/>
      <c r="B690" s="50"/>
      <c r="C690" s="18"/>
      <c r="D690" s="18"/>
      <c r="E690" s="18"/>
      <c r="F690" s="58"/>
      <c r="G690" s="18"/>
      <c r="H690" s="34"/>
      <c r="I690" s="34"/>
      <c r="J690" s="34"/>
    </row>
    <row r="691" spans="1:10">
      <c r="A691" s="49"/>
      <c r="B691" s="50"/>
      <c r="C691" s="18"/>
      <c r="D691" s="18"/>
      <c r="E691" s="18"/>
      <c r="F691" s="58"/>
      <c r="G691" s="18"/>
      <c r="H691" s="34"/>
      <c r="I691" s="34"/>
      <c r="J691" s="34"/>
    </row>
    <row r="692" spans="1:10">
      <c r="A692" s="49"/>
      <c r="B692" s="50"/>
      <c r="C692" s="18"/>
      <c r="D692" s="18"/>
      <c r="E692" s="18"/>
      <c r="F692" s="58"/>
      <c r="G692" s="18"/>
      <c r="H692" s="34"/>
      <c r="I692" s="34"/>
      <c r="J692" s="34"/>
    </row>
    <row r="693" spans="1:10">
      <c r="A693" s="49"/>
      <c r="B693" s="50"/>
      <c r="C693" s="18"/>
      <c r="D693" s="18"/>
      <c r="E693" s="18"/>
      <c r="F693" s="58"/>
      <c r="G693" s="18"/>
      <c r="H693" s="34"/>
      <c r="I693" s="34"/>
      <c r="J693" s="34"/>
    </row>
    <row r="694" spans="1:10">
      <c r="A694" s="49"/>
      <c r="B694" s="50"/>
      <c r="C694" s="18"/>
      <c r="D694" s="18"/>
      <c r="E694" s="18"/>
      <c r="F694" s="58"/>
      <c r="G694" s="18"/>
      <c r="H694" s="34"/>
      <c r="I694" s="34"/>
      <c r="J694" s="34"/>
    </row>
    <row r="695" spans="1:10">
      <c r="A695" s="49"/>
      <c r="B695" s="50"/>
      <c r="C695" s="18"/>
      <c r="D695" s="18"/>
      <c r="E695" s="18"/>
      <c r="F695" s="58"/>
      <c r="G695" s="18"/>
      <c r="H695" s="34"/>
      <c r="I695" s="34"/>
      <c r="J695" s="34"/>
    </row>
    <row r="696" spans="1:10">
      <c r="A696" s="49"/>
      <c r="B696" s="50"/>
      <c r="C696" s="18"/>
      <c r="D696" s="18"/>
      <c r="E696" s="18"/>
      <c r="F696" s="58"/>
      <c r="G696" s="18"/>
      <c r="H696" s="34"/>
      <c r="I696" s="34"/>
      <c r="J696" s="34"/>
    </row>
    <row r="697" spans="1:10">
      <c r="A697" s="49"/>
      <c r="B697" s="50"/>
      <c r="C697" s="18"/>
      <c r="D697" s="18"/>
      <c r="E697" s="18"/>
      <c r="F697" s="58"/>
      <c r="G697" s="18"/>
      <c r="H697" s="34"/>
      <c r="I697" s="34"/>
      <c r="J697" s="34"/>
    </row>
    <row r="698" spans="1:10">
      <c r="A698" s="49"/>
      <c r="B698" s="50"/>
      <c r="C698" s="18"/>
      <c r="D698" s="18"/>
      <c r="E698" s="18"/>
      <c r="F698" s="58"/>
      <c r="G698" s="18"/>
      <c r="H698" s="34"/>
      <c r="I698" s="34"/>
      <c r="J698" s="34"/>
    </row>
    <row r="699" spans="1:10">
      <c r="A699" s="49"/>
      <c r="B699" s="50"/>
      <c r="C699" s="18"/>
      <c r="D699" s="18"/>
      <c r="E699" s="18"/>
      <c r="F699" s="58"/>
      <c r="G699" s="18"/>
      <c r="H699" s="34"/>
      <c r="I699" s="34"/>
      <c r="J699" s="34"/>
    </row>
    <row r="700" spans="1:10">
      <c r="A700" s="49"/>
      <c r="B700" s="50"/>
      <c r="C700" s="18"/>
      <c r="D700" s="18"/>
      <c r="E700" s="18"/>
      <c r="F700" s="58"/>
      <c r="G700" s="18"/>
      <c r="H700" s="34"/>
      <c r="I700" s="34"/>
      <c r="J700" s="34"/>
    </row>
    <row r="701" spans="1:10">
      <c r="A701" s="49"/>
      <c r="B701" s="50"/>
      <c r="C701" s="18"/>
      <c r="D701" s="18"/>
      <c r="E701" s="18"/>
      <c r="F701" s="58"/>
      <c r="G701" s="18"/>
      <c r="H701" s="34"/>
      <c r="I701" s="34"/>
      <c r="J701" s="34"/>
    </row>
    <row r="702" spans="1:10">
      <c r="A702" s="49"/>
      <c r="B702" s="50"/>
      <c r="C702" s="18"/>
      <c r="D702" s="18"/>
      <c r="E702" s="18"/>
      <c r="F702" s="58"/>
      <c r="G702" s="18"/>
      <c r="H702" s="34"/>
      <c r="I702" s="34"/>
      <c r="J702" s="34"/>
    </row>
    <row r="703" spans="1:10">
      <c r="A703" s="49"/>
      <c r="B703" s="50"/>
      <c r="C703" s="18"/>
      <c r="D703" s="18"/>
      <c r="E703" s="18"/>
      <c r="F703" s="58"/>
      <c r="G703" s="18"/>
      <c r="H703" s="34"/>
      <c r="I703" s="34"/>
      <c r="J703" s="34"/>
    </row>
    <row r="704" spans="1:10">
      <c r="A704" s="49"/>
      <c r="B704" s="50"/>
      <c r="C704" s="18"/>
      <c r="D704" s="18"/>
      <c r="E704" s="18"/>
      <c r="F704" s="58"/>
      <c r="G704" s="18"/>
      <c r="H704" s="34"/>
      <c r="I704" s="34"/>
      <c r="J704" s="34"/>
    </row>
    <row r="705" spans="1:10">
      <c r="A705" s="49"/>
      <c r="B705" s="50"/>
      <c r="C705" s="18"/>
      <c r="D705" s="18"/>
      <c r="E705" s="18"/>
      <c r="F705" s="58"/>
      <c r="G705" s="18"/>
      <c r="H705" s="34"/>
      <c r="I705" s="34"/>
      <c r="J705" s="34"/>
    </row>
    <row r="706" spans="1:10">
      <c r="A706" s="49"/>
      <c r="B706" s="50"/>
      <c r="C706" s="18"/>
      <c r="D706" s="18"/>
      <c r="E706" s="18"/>
      <c r="F706" s="58"/>
      <c r="G706" s="18"/>
      <c r="H706" s="34"/>
      <c r="I706" s="34"/>
      <c r="J706" s="34"/>
    </row>
    <row r="707" spans="1:10">
      <c r="A707" s="49"/>
      <c r="B707" s="50"/>
      <c r="C707" s="18"/>
      <c r="D707" s="18"/>
      <c r="E707" s="18"/>
      <c r="F707" s="58"/>
      <c r="G707" s="18"/>
      <c r="H707" s="34"/>
      <c r="I707" s="34"/>
      <c r="J707" s="34"/>
    </row>
    <row r="708" spans="1:10">
      <c r="A708" s="49"/>
      <c r="B708" s="50"/>
      <c r="C708" s="18"/>
      <c r="D708" s="18"/>
      <c r="E708" s="18"/>
      <c r="F708" s="58"/>
      <c r="G708" s="18"/>
      <c r="H708" s="34"/>
      <c r="I708" s="34"/>
      <c r="J708" s="34"/>
    </row>
    <row r="709" spans="1:10">
      <c r="A709" s="49"/>
      <c r="B709" s="50"/>
      <c r="C709" s="18"/>
      <c r="D709" s="18"/>
      <c r="E709" s="18"/>
      <c r="F709" s="58"/>
      <c r="G709" s="18"/>
      <c r="H709" s="34"/>
      <c r="I709" s="34"/>
      <c r="J709" s="34"/>
    </row>
    <row r="710" spans="1:10">
      <c r="A710" s="49"/>
      <c r="B710" s="50"/>
      <c r="C710" s="18"/>
      <c r="D710" s="18"/>
      <c r="E710" s="18"/>
      <c r="F710" s="58"/>
      <c r="G710" s="18"/>
      <c r="H710" s="34"/>
      <c r="I710" s="34"/>
      <c r="J710" s="34"/>
    </row>
    <row r="711" spans="1:10">
      <c r="A711" s="49"/>
      <c r="B711" s="50"/>
      <c r="C711" s="18"/>
      <c r="D711" s="18"/>
      <c r="E711" s="18"/>
      <c r="F711" s="58"/>
      <c r="G711" s="18"/>
      <c r="H711" s="34"/>
      <c r="I711" s="34"/>
      <c r="J711" s="34"/>
    </row>
    <row r="712" spans="1:10">
      <c r="A712" s="49"/>
      <c r="B712" s="50"/>
      <c r="C712" s="18"/>
      <c r="D712" s="18"/>
      <c r="E712" s="18"/>
      <c r="F712" s="58"/>
      <c r="G712" s="18"/>
      <c r="H712" s="34"/>
      <c r="I712" s="34"/>
      <c r="J712" s="34"/>
    </row>
    <row r="713" spans="1:10">
      <c r="A713" s="49"/>
      <c r="B713" s="50"/>
      <c r="C713" s="18"/>
      <c r="D713" s="18"/>
      <c r="E713" s="18"/>
      <c r="F713" s="58"/>
      <c r="G713" s="18"/>
      <c r="H713" s="34"/>
      <c r="I713" s="34"/>
      <c r="J713" s="34"/>
    </row>
    <row r="714" spans="1:10">
      <c r="A714" s="49"/>
      <c r="B714" s="50"/>
      <c r="C714" s="18"/>
      <c r="D714" s="18"/>
      <c r="E714" s="18"/>
      <c r="F714" s="58"/>
      <c r="G714" s="18"/>
      <c r="H714" s="34"/>
      <c r="I714" s="34"/>
      <c r="J714" s="34"/>
    </row>
    <row r="715" spans="1:10">
      <c r="A715" s="49"/>
      <c r="B715" s="50"/>
      <c r="C715" s="18"/>
      <c r="D715" s="18"/>
      <c r="E715" s="18"/>
      <c r="F715" s="58"/>
      <c r="G715" s="18"/>
      <c r="H715" s="34"/>
      <c r="I715" s="34"/>
      <c r="J715" s="34"/>
    </row>
    <row r="716" spans="1:10">
      <c r="A716" s="49"/>
      <c r="B716" s="50"/>
      <c r="C716" s="18"/>
      <c r="D716" s="18"/>
      <c r="E716" s="18"/>
      <c r="F716" s="58"/>
      <c r="G716" s="18"/>
      <c r="H716" s="34"/>
      <c r="I716" s="34"/>
      <c r="J716" s="34"/>
    </row>
    <row r="717" spans="1:10">
      <c r="A717" s="49"/>
      <c r="B717" s="50"/>
      <c r="C717" s="18"/>
      <c r="D717" s="18"/>
      <c r="E717" s="18"/>
      <c r="F717" s="58"/>
      <c r="G717" s="18"/>
      <c r="H717" s="34"/>
      <c r="I717" s="34"/>
      <c r="J717" s="34"/>
    </row>
    <row r="718" spans="1:10">
      <c r="A718" s="49"/>
      <c r="B718" s="50"/>
      <c r="C718" s="18"/>
      <c r="D718" s="18"/>
      <c r="E718" s="18"/>
      <c r="F718" s="58"/>
      <c r="G718" s="18"/>
      <c r="H718" s="34"/>
      <c r="I718" s="34"/>
      <c r="J718" s="34"/>
    </row>
    <row r="719" spans="1:10">
      <c r="A719" s="49"/>
      <c r="B719" s="50"/>
      <c r="C719" s="18"/>
      <c r="D719" s="18"/>
      <c r="E719" s="18"/>
      <c r="F719" s="58"/>
      <c r="G719" s="18"/>
      <c r="H719" s="34"/>
      <c r="I719" s="34"/>
      <c r="J719" s="34"/>
    </row>
    <row r="720" spans="1:10">
      <c r="A720" s="49"/>
      <c r="B720" s="50"/>
      <c r="C720" s="18"/>
      <c r="D720" s="18"/>
      <c r="E720" s="18"/>
      <c r="F720" s="58"/>
      <c r="G720" s="18"/>
      <c r="H720" s="34"/>
      <c r="I720" s="34"/>
      <c r="J720" s="34"/>
    </row>
    <row r="721" spans="1:10">
      <c r="A721" s="49"/>
      <c r="B721" s="50"/>
      <c r="C721" s="18"/>
      <c r="D721" s="18"/>
      <c r="E721" s="18"/>
      <c r="F721" s="58"/>
      <c r="G721" s="18"/>
      <c r="H721" s="34"/>
      <c r="I721" s="34"/>
      <c r="J721" s="34"/>
    </row>
    <row r="722" spans="1:10">
      <c r="A722" s="49"/>
      <c r="B722" s="50"/>
      <c r="C722" s="18"/>
      <c r="D722" s="18"/>
      <c r="E722" s="18"/>
      <c r="F722" s="58"/>
      <c r="G722" s="18"/>
      <c r="H722" s="34"/>
      <c r="I722" s="34"/>
      <c r="J722" s="34"/>
    </row>
    <row r="723" spans="1:10">
      <c r="A723" s="49"/>
      <c r="B723" s="50"/>
      <c r="C723" s="18"/>
      <c r="D723" s="18"/>
      <c r="E723" s="18"/>
      <c r="F723" s="58"/>
      <c r="G723" s="18"/>
      <c r="H723" s="34"/>
      <c r="I723" s="34"/>
      <c r="J723" s="34"/>
    </row>
    <row r="724" spans="1:10">
      <c r="A724" s="49"/>
      <c r="B724" s="50"/>
      <c r="C724" s="18"/>
      <c r="D724" s="18"/>
      <c r="E724" s="18"/>
      <c r="F724" s="58"/>
      <c r="G724" s="18"/>
      <c r="H724" s="34"/>
      <c r="I724" s="34"/>
      <c r="J724" s="34"/>
    </row>
    <row r="725" spans="1:10">
      <c r="A725" s="49"/>
      <c r="B725" s="50"/>
      <c r="C725" s="18"/>
      <c r="D725" s="18"/>
      <c r="E725" s="18"/>
      <c r="F725" s="58"/>
      <c r="G725" s="18"/>
      <c r="H725" s="34"/>
      <c r="I725" s="34"/>
      <c r="J725" s="34"/>
    </row>
    <row r="726" spans="1:10">
      <c r="A726" s="49"/>
      <c r="B726" s="50"/>
      <c r="C726" s="18"/>
      <c r="D726" s="18"/>
      <c r="E726" s="18"/>
      <c r="F726" s="58"/>
      <c r="G726" s="18"/>
      <c r="H726" s="34"/>
      <c r="I726" s="34"/>
      <c r="J726" s="34"/>
    </row>
    <row r="727" spans="1:10">
      <c r="A727" s="49"/>
      <c r="B727" s="50"/>
      <c r="C727" s="18"/>
      <c r="D727" s="18"/>
      <c r="E727" s="18"/>
      <c r="F727" s="58"/>
      <c r="G727" s="18"/>
      <c r="H727" s="34"/>
      <c r="I727" s="34"/>
      <c r="J727" s="34"/>
    </row>
    <row r="728" spans="1:10">
      <c r="A728" s="49"/>
      <c r="B728" s="50"/>
      <c r="C728" s="18"/>
      <c r="D728" s="18"/>
      <c r="E728" s="18"/>
      <c r="F728" s="58"/>
      <c r="G728" s="18"/>
      <c r="H728" s="34"/>
      <c r="I728" s="34"/>
      <c r="J728" s="34"/>
    </row>
    <row r="729" spans="1:10">
      <c r="A729" s="49"/>
      <c r="B729" s="50"/>
      <c r="C729" s="18"/>
      <c r="D729" s="18"/>
      <c r="E729" s="18"/>
      <c r="F729" s="58"/>
      <c r="G729" s="18"/>
      <c r="H729" s="34"/>
      <c r="I729" s="34"/>
      <c r="J729" s="34"/>
    </row>
    <row r="730" spans="1:10">
      <c r="A730" s="49"/>
      <c r="B730" s="50"/>
      <c r="C730" s="18"/>
      <c r="D730" s="18"/>
      <c r="E730" s="18"/>
      <c r="F730" s="58"/>
      <c r="G730" s="18"/>
      <c r="H730" s="34"/>
      <c r="I730" s="34"/>
      <c r="J730" s="34"/>
    </row>
    <row r="731" spans="1:10">
      <c r="A731" s="49"/>
      <c r="B731" s="50"/>
      <c r="C731" s="18"/>
      <c r="D731" s="18"/>
      <c r="E731" s="18"/>
      <c r="F731" s="58"/>
      <c r="G731" s="18"/>
      <c r="H731" s="34"/>
      <c r="I731" s="34"/>
      <c r="J731" s="34"/>
    </row>
    <row r="732" spans="1:10">
      <c r="A732" s="49"/>
      <c r="B732" s="50"/>
      <c r="C732" s="18"/>
      <c r="D732" s="18"/>
      <c r="E732" s="18"/>
      <c r="F732" s="58"/>
      <c r="G732" s="18"/>
      <c r="H732" s="34"/>
      <c r="I732" s="34"/>
      <c r="J732" s="34"/>
    </row>
    <row r="733" spans="1:10">
      <c r="A733" s="49"/>
      <c r="B733" s="50"/>
      <c r="C733" s="18"/>
      <c r="D733" s="18"/>
      <c r="E733" s="18"/>
      <c r="F733" s="58"/>
      <c r="G733" s="18"/>
      <c r="H733" s="34"/>
      <c r="I733" s="34"/>
      <c r="J733" s="34"/>
    </row>
    <row r="734" spans="1:10">
      <c r="A734" s="49"/>
      <c r="B734" s="50"/>
      <c r="C734" s="18"/>
      <c r="D734" s="18"/>
      <c r="E734" s="18"/>
      <c r="F734" s="58"/>
      <c r="G734" s="18"/>
      <c r="H734" s="34"/>
      <c r="I734" s="34"/>
      <c r="J734" s="34"/>
    </row>
    <row r="735" spans="1:10">
      <c r="A735" s="49"/>
      <c r="B735" s="50"/>
      <c r="C735" s="18"/>
      <c r="D735" s="18"/>
      <c r="E735" s="18"/>
      <c r="F735" s="58"/>
      <c r="G735" s="18"/>
      <c r="H735" s="34"/>
      <c r="I735" s="34"/>
      <c r="J735" s="34"/>
    </row>
    <row r="736" spans="1:10">
      <c r="A736" s="49"/>
      <c r="B736" s="50"/>
      <c r="C736" s="18"/>
      <c r="D736" s="18"/>
      <c r="E736" s="18"/>
      <c r="F736" s="58"/>
      <c r="G736" s="18"/>
      <c r="H736" s="34"/>
      <c r="I736" s="34"/>
      <c r="J736" s="34"/>
    </row>
    <row r="737" spans="1:10">
      <c r="A737" s="49"/>
      <c r="B737" s="50"/>
      <c r="C737" s="18"/>
      <c r="D737" s="18"/>
      <c r="E737" s="18"/>
      <c r="F737" s="58"/>
      <c r="G737" s="18"/>
      <c r="H737" s="34"/>
      <c r="I737" s="34"/>
      <c r="J737" s="34"/>
    </row>
    <row r="738" spans="1:10">
      <c r="A738" s="49"/>
      <c r="B738" s="50"/>
      <c r="C738" s="18"/>
      <c r="D738" s="18"/>
      <c r="E738" s="18"/>
      <c r="F738" s="58"/>
      <c r="G738" s="18"/>
      <c r="H738" s="34"/>
      <c r="I738" s="34"/>
      <c r="J738" s="34"/>
    </row>
    <row r="739" spans="1:10">
      <c r="A739" s="49"/>
      <c r="B739" s="50"/>
      <c r="C739" s="18"/>
      <c r="D739" s="18"/>
      <c r="E739" s="18"/>
      <c r="F739" s="58"/>
      <c r="G739" s="18"/>
      <c r="H739" s="34"/>
      <c r="I739" s="34"/>
      <c r="J739" s="34"/>
    </row>
    <row r="740" spans="1:10">
      <c r="A740" s="49"/>
      <c r="B740" s="50"/>
      <c r="C740" s="18"/>
      <c r="D740" s="18"/>
      <c r="E740" s="18"/>
      <c r="F740" s="58"/>
      <c r="G740" s="18"/>
      <c r="H740" s="34"/>
      <c r="I740" s="34"/>
      <c r="J740" s="34"/>
    </row>
    <row r="741" spans="1:10">
      <c r="A741" s="49"/>
      <c r="B741" s="50"/>
      <c r="C741" s="18"/>
      <c r="D741" s="18"/>
      <c r="E741" s="18"/>
      <c r="F741" s="58"/>
      <c r="G741" s="18"/>
      <c r="H741" s="34"/>
      <c r="I741" s="34"/>
      <c r="J741" s="34"/>
    </row>
    <row r="742" spans="1:10">
      <c r="A742" s="49"/>
      <c r="B742" s="50"/>
      <c r="C742" s="18"/>
      <c r="D742" s="18"/>
      <c r="E742" s="18"/>
      <c r="F742" s="58"/>
      <c r="G742" s="18"/>
      <c r="H742" s="34"/>
      <c r="I742" s="34"/>
      <c r="J742" s="34"/>
    </row>
    <row r="743" spans="1:10">
      <c r="A743" s="49"/>
      <c r="B743" s="50"/>
      <c r="C743" s="18"/>
      <c r="D743" s="18"/>
      <c r="E743" s="18"/>
      <c r="F743" s="58"/>
      <c r="G743" s="18"/>
      <c r="H743" s="34"/>
      <c r="I743" s="34"/>
      <c r="J743" s="34"/>
    </row>
    <row r="744" spans="1:10">
      <c r="A744" s="49"/>
      <c r="B744" s="50"/>
      <c r="C744" s="18"/>
      <c r="D744" s="18"/>
      <c r="E744" s="18"/>
      <c r="F744" s="58"/>
      <c r="G744" s="18"/>
      <c r="H744" s="34"/>
      <c r="I744" s="34"/>
      <c r="J744" s="34"/>
    </row>
    <row r="745" spans="1:10">
      <c r="A745" s="49"/>
      <c r="B745" s="50"/>
      <c r="C745" s="18"/>
      <c r="D745" s="18"/>
      <c r="E745" s="18"/>
      <c r="F745" s="58"/>
      <c r="G745" s="18"/>
      <c r="H745" s="34"/>
      <c r="I745" s="34"/>
      <c r="J745" s="34"/>
    </row>
    <row r="746" spans="1:10">
      <c r="A746" s="49"/>
      <c r="B746" s="50"/>
      <c r="C746" s="18"/>
      <c r="D746" s="18"/>
      <c r="E746" s="18"/>
      <c r="F746" s="58"/>
      <c r="G746" s="18"/>
      <c r="H746" s="34"/>
      <c r="I746" s="34"/>
      <c r="J746" s="34"/>
    </row>
    <row r="747" spans="1:10">
      <c r="A747" s="49"/>
      <c r="B747" s="50"/>
      <c r="C747" s="18"/>
      <c r="D747" s="18"/>
      <c r="E747" s="18"/>
      <c r="F747" s="58"/>
      <c r="G747" s="18"/>
      <c r="H747" s="34"/>
      <c r="I747" s="34"/>
      <c r="J747" s="34"/>
    </row>
    <row r="748" spans="1:10">
      <c r="A748" s="49"/>
      <c r="B748" s="50"/>
      <c r="C748" s="18"/>
      <c r="D748" s="18"/>
      <c r="E748" s="18"/>
      <c r="F748" s="58"/>
      <c r="G748" s="18"/>
      <c r="H748" s="34"/>
      <c r="I748" s="34"/>
      <c r="J748" s="34"/>
    </row>
    <row r="749" spans="1:10">
      <c r="A749" s="49"/>
      <c r="B749" s="50"/>
      <c r="C749" s="18"/>
      <c r="D749" s="18"/>
      <c r="E749" s="18"/>
      <c r="F749" s="58"/>
      <c r="G749" s="18"/>
      <c r="H749" s="34"/>
      <c r="I749" s="34"/>
      <c r="J749" s="34"/>
    </row>
    <row r="750" spans="1:10">
      <c r="A750" s="49"/>
      <c r="B750" s="50"/>
      <c r="C750" s="18"/>
      <c r="D750" s="18"/>
      <c r="E750" s="18"/>
      <c r="F750" s="58"/>
      <c r="G750" s="18"/>
      <c r="H750" s="34"/>
      <c r="I750" s="34"/>
      <c r="J750" s="34"/>
    </row>
    <row r="751" spans="1:10">
      <c r="A751" s="49"/>
      <c r="B751" s="50"/>
      <c r="C751" s="18"/>
      <c r="D751" s="18"/>
      <c r="E751" s="18"/>
      <c r="F751" s="58"/>
      <c r="G751" s="18"/>
      <c r="H751" s="34"/>
      <c r="I751" s="34"/>
      <c r="J751" s="34"/>
    </row>
    <row r="752" spans="1:10">
      <c r="A752" s="49"/>
      <c r="B752" s="50"/>
      <c r="C752" s="18"/>
      <c r="D752" s="18"/>
      <c r="E752" s="18"/>
      <c r="F752" s="58"/>
      <c r="G752" s="18"/>
      <c r="H752" s="34"/>
      <c r="I752" s="34"/>
      <c r="J752" s="34"/>
    </row>
    <row r="753" spans="1:10">
      <c r="A753" s="49"/>
      <c r="B753" s="50"/>
      <c r="C753" s="18"/>
      <c r="D753" s="18"/>
      <c r="E753" s="18"/>
      <c r="F753" s="58"/>
      <c r="G753" s="18"/>
      <c r="H753" s="34"/>
      <c r="I753" s="34"/>
      <c r="J753" s="34"/>
    </row>
    <row r="754" spans="1:10">
      <c r="A754" s="49"/>
      <c r="B754" s="50"/>
      <c r="C754" s="18"/>
      <c r="D754" s="18"/>
      <c r="E754" s="18"/>
      <c r="F754" s="58"/>
      <c r="G754" s="18"/>
      <c r="H754" s="34"/>
      <c r="I754" s="34"/>
      <c r="J754" s="34"/>
    </row>
    <row r="755" spans="1:10">
      <c r="A755" s="49"/>
      <c r="B755" s="50"/>
      <c r="C755" s="18"/>
      <c r="D755" s="18"/>
      <c r="E755" s="18"/>
      <c r="F755" s="58"/>
      <c r="G755" s="18"/>
      <c r="H755" s="34"/>
      <c r="I755" s="34"/>
      <c r="J755" s="34"/>
    </row>
    <row r="756" spans="1:10">
      <c r="A756" s="49"/>
      <c r="B756" s="50"/>
      <c r="C756" s="18"/>
      <c r="D756" s="18"/>
      <c r="E756" s="18"/>
      <c r="F756" s="58"/>
      <c r="G756" s="18"/>
      <c r="H756" s="34"/>
      <c r="I756" s="34"/>
      <c r="J756" s="34"/>
    </row>
    <row r="757" spans="1:10">
      <c r="A757" s="49"/>
      <c r="B757" s="50"/>
      <c r="C757" s="18"/>
      <c r="D757" s="18"/>
      <c r="E757" s="18"/>
      <c r="F757" s="58"/>
      <c r="G757" s="18"/>
      <c r="H757" s="34"/>
      <c r="I757" s="34"/>
      <c r="J757" s="34"/>
    </row>
    <row r="758" spans="1:10">
      <c r="A758" s="49"/>
      <c r="B758" s="50"/>
      <c r="C758" s="18"/>
      <c r="D758" s="18"/>
      <c r="E758" s="18"/>
      <c r="F758" s="58"/>
      <c r="G758" s="18"/>
      <c r="H758" s="34"/>
      <c r="I758" s="34"/>
      <c r="J758" s="34"/>
    </row>
    <row r="759" spans="1:10">
      <c r="A759" s="49"/>
      <c r="B759" s="50"/>
      <c r="C759" s="18"/>
      <c r="D759" s="18"/>
      <c r="E759" s="18"/>
      <c r="F759" s="58"/>
      <c r="G759" s="18"/>
      <c r="H759" s="34"/>
      <c r="I759" s="34"/>
      <c r="J759" s="34"/>
    </row>
    <row r="760" spans="1:10">
      <c r="A760" s="49"/>
      <c r="B760" s="50"/>
      <c r="C760" s="18"/>
      <c r="D760" s="18"/>
      <c r="E760" s="18"/>
      <c r="F760" s="58"/>
      <c r="G760" s="18"/>
      <c r="H760" s="34"/>
      <c r="I760" s="34"/>
      <c r="J760" s="34"/>
    </row>
    <row r="761" spans="1:10">
      <c r="A761" s="49"/>
      <c r="B761" s="50"/>
      <c r="C761" s="18"/>
      <c r="D761" s="18"/>
      <c r="E761" s="18"/>
      <c r="F761" s="58"/>
      <c r="G761" s="18"/>
      <c r="H761" s="34"/>
      <c r="I761" s="34"/>
      <c r="J761" s="34"/>
    </row>
    <row r="762" spans="1:10">
      <c r="A762" s="49"/>
      <c r="B762" s="50"/>
      <c r="C762" s="18"/>
      <c r="D762" s="18"/>
      <c r="E762" s="18"/>
      <c r="F762" s="58"/>
      <c r="G762" s="18"/>
      <c r="H762" s="34"/>
      <c r="I762" s="34"/>
      <c r="J762" s="34"/>
    </row>
    <row r="763" spans="1:10">
      <c r="A763" s="49"/>
      <c r="B763" s="50"/>
      <c r="C763" s="18"/>
      <c r="D763" s="18"/>
      <c r="E763" s="18"/>
      <c r="F763" s="58"/>
      <c r="G763" s="18"/>
      <c r="H763" s="34"/>
      <c r="I763" s="34"/>
      <c r="J763" s="34"/>
    </row>
    <row r="764" spans="1:10">
      <c r="A764" s="49"/>
      <c r="B764" s="50"/>
      <c r="C764" s="18"/>
      <c r="D764" s="18"/>
      <c r="E764" s="18"/>
      <c r="F764" s="58"/>
      <c r="G764" s="18"/>
      <c r="H764" s="34"/>
      <c r="I764" s="34"/>
      <c r="J764" s="34"/>
    </row>
    <row r="765" spans="1:10">
      <c r="A765" s="49"/>
      <c r="B765" s="50"/>
      <c r="C765" s="18"/>
      <c r="D765" s="18"/>
      <c r="E765" s="18"/>
      <c r="F765" s="58"/>
      <c r="G765" s="18"/>
      <c r="H765" s="34"/>
      <c r="I765" s="34"/>
      <c r="J765" s="34"/>
    </row>
    <row r="766" spans="1:10">
      <c r="A766" s="49"/>
      <c r="B766" s="50"/>
      <c r="C766" s="18"/>
      <c r="D766" s="18"/>
      <c r="E766" s="18"/>
      <c r="F766" s="58"/>
      <c r="G766" s="18"/>
      <c r="H766" s="34"/>
      <c r="I766" s="34"/>
      <c r="J766" s="34"/>
    </row>
    <row r="767" spans="1:10">
      <c r="A767" s="49"/>
      <c r="B767" s="50"/>
      <c r="C767" s="18"/>
      <c r="D767" s="18"/>
      <c r="E767" s="18"/>
      <c r="F767" s="58"/>
      <c r="G767" s="18"/>
      <c r="H767" s="34"/>
      <c r="I767" s="34"/>
      <c r="J767" s="34"/>
    </row>
    <row r="768" spans="1:10">
      <c r="A768" s="49"/>
      <c r="B768" s="50"/>
      <c r="C768" s="18"/>
      <c r="D768" s="18"/>
      <c r="E768" s="18"/>
      <c r="F768" s="58"/>
      <c r="G768" s="18"/>
      <c r="H768" s="34"/>
      <c r="I768" s="34"/>
      <c r="J768" s="34"/>
    </row>
    <row r="769" spans="1:10">
      <c r="A769" s="49"/>
      <c r="B769" s="50"/>
      <c r="C769" s="18"/>
      <c r="D769" s="18"/>
      <c r="E769" s="18"/>
      <c r="F769" s="58"/>
      <c r="G769" s="18"/>
      <c r="H769" s="34"/>
      <c r="I769" s="34"/>
      <c r="J769" s="34"/>
    </row>
    <row r="770" spans="1:10">
      <c r="A770" s="49"/>
      <c r="B770" s="50"/>
      <c r="C770" s="18"/>
      <c r="D770" s="18"/>
      <c r="E770" s="18"/>
      <c r="F770" s="58"/>
      <c r="G770" s="18"/>
      <c r="H770" s="34"/>
      <c r="I770" s="34"/>
      <c r="J770" s="34"/>
    </row>
    <row r="771" spans="1:10">
      <c r="A771" s="49"/>
      <c r="B771" s="50"/>
      <c r="C771" s="18"/>
      <c r="D771" s="18"/>
      <c r="E771" s="18"/>
      <c r="F771" s="58"/>
      <c r="G771" s="18"/>
      <c r="H771" s="34"/>
      <c r="I771" s="34"/>
      <c r="J771" s="34"/>
    </row>
    <row r="772" spans="1:10">
      <c r="A772" s="49"/>
      <c r="B772" s="50"/>
      <c r="C772" s="18"/>
      <c r="D772" s="18"/>
      <c r="E772" s="18"/>
      <c r="F772" s="58"/>
      <c r="G772" s="18"/>
      <c r="H772" s="34"/>
      <c r="I772" s="34"/>
      <c r="J772" s="34"/>
    </row>
    <row r="773" spans="1:10">
      <c r="A773" s="49"/>
      <c r="B773" s="50"/>
      <c r="C773" s="18"/>
      <c r="D773" s="18"/>
      <c r="E773" s="18"/>
      <c r="F773" s="58"/>
      <c r="G773" s="18"/>
      <c r="H773" s="34"/>
      <c r="I773" s="34"/>
      <c r="J773" s="34"/>
    </row>
    <row r="774" spans="1:10">
      <c r="A774" s="49"/>
      <c r="B774" s="50"/>
      <c r="C774" s="18"/>
      <c r="D774" s="18"/>
      <c r="E774" s="18"/>
      <c r="F774" s="58"/>
      <c r="G774" s="18"/>
      <c r="H774" s="34"/>
      <c r="I774" s="34"/>
      <c r="J774" s="34"/>
    </row>
    <row r="775" spans="1:10">
      <c r="A775" s="49"/>
      <c r="B775" s="50"/>
      <c r="C775" s="18"/>
      <c r="D775" s="18"/>
      <c r="E775" s="18"/>
      <c r="F775" s="58"/>
      <c r="G775" s="18"/>
      <c r="H775" s="34"/>
      <c r="I775" s="34"/>
      <c r="J775" s="34"/>
    </row>
    <row r="776" spans="1:10">
      <c r="A776" s="49"/>
      <c r="B776" s="50"/>
      <c r="C776" s="18"/>
      <c r="D776" s="18"/>
      <c r="E776" s="18"/>
      <c r="F776" s="58"/>
      <c r="G776" s="18"/>
      <c r="H776" s="34"/>
      <c r="I776" s="34"/>
      <c r="J776" s="34"/>
    </row>
    <row r="777" spans="1:10">
      <c r="A777" s="49"/>
      <c r="B777" s="50"/>
      <c r="C777" s="18"/>
      <c r="D777" s="18"/>
      <c r="E777" s="18"/>
      <c r="F777" s="58"/>
      <c r="G777" s="18"/>
      <c r="H777" s="34"/>
      <c r="I777" s="34"/>
      <c r="J777" s="34"/>
    </row>
    <row r="778" spans="1:10">
      <c r="A778" s="49"/>
      <c r="B778" s="50"/>
      <c r="C778" s="18"/>
      <c r="D778" s="18"/>
      <c r="E778" s="18"/>
      <c r="F778" s="58"/>
      <c r="G778" s="18"/>
      <c r="H778" s="34"/>
      <c r="I778" s="34"/>
      <c r="J778" s="34"/>
    </row>
    <row r="779" spans="1:10">
      <c r="A779" s="49"/>
      <c r="B779" s="50"/>
      <c r="C779" s="18"/>
      <c r="D779" s="18"/>
      <c r="E779" s="18"/>
      <c r="F779" s="58"/>
      <c r="G779" s="18"/>
      <c r="H779" s="34"/>
      <c r="I779" s="34"/>
      <c r="J779" s="34"/>
    </row>
    <row r="780" spans="1:10">
      <c r="A780" s="49"/>
      <c r="B780" s="50"/>
      <c r="C780" s="18"/>
      <c r="D780" s="18"/>
      <c r="E780" s="18"/>
      <c r="F780" s="58"/>
      <c r="G780" s="18"/>
      <c r="H780" s="34"/>
      <c r="I780" s="34"/>
      <c r="J780" s="34"/>
    </row>
    <row r="781" spans="1:10">
      <c r="A781" s="49"/>
      <c r="B781" s="50"/>
      <c r="C781" s="18"/>
      <c r="D781" s="18"/>
      <c r="E781" s="18"/>
      <c r="F781" s="58"/>
      <c r="G781" s="18"/>
      <c r="H781" s="34"/>
      <c r="I781" s="34"/>
      <c r="J781" s="34"/>
    </row>
    <row r="782" spans="1:10">
      <c r="A782" s="49"/>
      <c r="B782" s="50"/>
      <c r="C782" s="18"/>
      <c r="D782" s="18"/>
      <c r="E782" s="18"/>
      <c r="F782" s="58"/>
      <c r="G782" s="18"/>
      <c r="H782" s="34"/>
      <c r="I782" s="34"/>
      <c r="J782" s="34"/>
    </row>
    <row r="783" spans="1:10">
      <c r="A783" s="49"/>
      <c r="B783" s="50"/>
      <c r="C783" s="18"/>
      <c r="D783" s="18"/>
      <c r="E783" s="18"/>
      <c r="F783" s="58"/>
      <c r="G783" s="18"/>
      <c r="H783" s="34"/>
      <c r="I783" s="34"/>
      <c r="J783" s="34"/>
    </row>
    <row r="784" spans="1:10">
      <c r="A784" s="49"/>
      <c r="B784" s="50"/>
      <c r="C784" s="18"/>
      <c r="D784" s="18"/>
      <c r="E784" s="18"/>
      <c r="F784" s="58"/>
      <c r="G784" s="18"/>
      <c r="H784" s="34"/>
      <c r="I784" s="34"/>
      <c r="J784" s="34"/>
    </row>
    <row r="785" spans="1:10">
      <c r="A785" s="49"/>
      <c r="B785" s="50"/>
      <c r="C785" s="18"/>
      <c r="D785" s="18"/>
      <c r="E785" s="18"/>
      <c r="F785" s="58"/>
      <c r="G785" s="18"/>
      <c r="H785" s="34"/>
      <c r="I785" s="34"/>
      <c r="J785" s="34"/>
    </row>
    <row r="786" spans="1:10">
      <c r="A786" s="49"/>
      <c r="B786" s="50"/>
      <c r="C786" s="18"/>
      <c r="D786" s="18"/>
      <c r="E786" s="18"/>
      <c r="F786" s="58"/>
      <c r="G786" s="18"/>
      <c r="H786" s="34"/>
      <c r="I786" s="34"/>
      <c r="J786" s="34"/>
    </row>
    <row r="787" spans="1:10">
      <c r="A787" s="49"/>
      <c r="B787" s="50"/>
      <c r="C787" s="18"/>
      <c r="D787" s="18"/>
      <c r="E787" s="18"/>
      <c r="F787" s="58"/>
      <c r="G787" s="18"/>
      <c r="H787" s="34"/>
      <c r="I787" s="34"/>
      <c r="J787" s="34"/>
    </row>
    <row r="788" spans="1:10">
      <c r="A788" s="49"/>
      <c r="B788" s="50"/>
      <c r="C788" s="18"/>
      <c r="D788" s="18"/>
      <c r="E788" s="18"/>
      <c r="F788" s="58"/>
      <c r="G788" s="18"/>
      <c r="H788" s="34"/>
      <c r="I788" s="34"/>
      <c r="J788" s="34"/>
    </row>
    <row r="789" spans="1:10">
      <c r="A789" s="49"/>
      <c r="B789" s="50"/>
      <c r="C789" s="18"/>
      <c r="D789" s="18"/>
      <c r="E789" s="18"/>
      <c r="F789" s="58"/>
      <c r="G789" s="18"/>
      <c r="H789" s="34"/>
      <c r="I789" s="34"/>
      <c r="J789" s="34"/>
    </row>
    <row r="790" spans="1:10">
      <c r="A790" s="49"/>
      <c r="B790" s="50"/>
      <c r="C790" s="18"/>
      <c r="D790" s="18"/>
      <c r="E790" s="18"/>
      <c r="F790" s="58"/>
      <c r="G790" s="18"/>
      <c r="H790" s="34"/>
      <c r="I790" s="34"/>
      <c r="J790" s="34"/>
    </row>
    <row r="791" spans="1:10">
      <c r="A791" s="49"/>
      <c r="B791" s="50"/>
      <c r="C791" s="18"/>
      <c r="D791" s="18"/>
      <c r="E791" s="18"/>
      <c r="F791" s="58"/>
      <c r="G791" s="18"/>
      <c r="H791" s="34"/>
      <c r="I791" s="34"/>
      <c r="J791" s="34"/>
    </row>
    <row r="792" spans="1:10">
      <c r="A792" s="49"/>
      <c r="B792" s="50"/>
      <c r="C792" s="18"/>
      <c r="D792" s="18"/>
      <c r="E792" s="18"/>
      <c r="F792" s="58"/>
      <c r="G792" s="18"/>
      <c r="H792" s="34"/>
      <c r="I792" s="34"/>
      <c r="J792" s="34"/>
    </row>
    <row r="793" spans="1:10">
      <c r="A793" s="49"/>
      <c r="B793" s="50"/>
      <c r="C793" s="18"/>
      <c r="D793" s="18"/>
      <c r="E793" s="18"/>
      <c r="F793" s="58"/>
      <c r="G793" s="18"/>
      <c r="H793" s="34"/>
      <c r="I793" s="34"/>
      <c r="J793" s="34"/>
    </row>
    <row r="794" spans="1:10">
      <c r="A794" s="49"/>
      <c r="B794" s="50"/>
      <c r="C794" s="18"/>
      <c r="D794" s="18"/>
      <c r="E794" s="18"/>
      <c r="F794" s="58"/>
      <c r="G794" s="18"/>
      <c r="H794" s="34"/>
      <c r="I794" s="34"/>
      <c r="J794" s="34"/>
    </row>
    <row r="795" spans="1:10">
      <c r="A795" s="49"/>
      <c r="B795" s="50"/>
      <c r="C795" s="18"/>
      <c r="D795" s="18"/>
      <c r="E795" s="18"/>
      <c r="F795" s="58"/>
      <c r="G795" s="18"/>
      <c r="H795" s="34"/>
      <c r="I795" s="34"/>
      <c r="J795" s="34"/>
    </row>
    <row r="796" spans="1:10">
      <c r="A796" s="49"/>
      <c r="B796" s="50"/>
      <c r="C796" s="18"/>
      <c r="D796" s="18"/>
      <c r="E796" s="18"/>
      <c r="F796" s="58"/>
      <c r="G796" s="18"/>
      <c r="H796" s="34"/>
      <c r="I796" s="34"/>
      <c r="J796" s="34"/>
    </row>
    <row r="797" spans="1:10">
      <c r="A797" s="49"/>
      <c r="B797" s="50"/>
      <c r="C797" s="18"/>
      <c r="D797" s="18"/>
      <c r="E797" s="18"/>
      <c r="F797" s="58"/>
      <c r="G797" s="18"/>
      <c r="H797" s="34"/>
      <c r="I797" s="34"/>
      <c r="J797" s="34"/>
    </row>
    <row r="798" spans="1:10">
      <c r="A798" s="49"/>
      <c r="B798" s="50"/>
      <c r="C798" s="18"/>
      <c r="D798" s="18"/>
      <c r="E798" s="18"/>
      <c r="F798" s="58"/>
      <c r="G798" s="18"/>
      <c r="H798" s="34"/>
      <c r="I798" s="34"/>
      <c r="J798" s="34"/>
    </row>
    <row r="799" spans="1:10">
      <c r="A799" s="49"/>
      <c r="B799" s="50"/>
      <c r="C799" s="18"/>
      <c r="D799" s="18"/>
      <c r="E799" s="18"/>
      <c r="F799" s="58"/>
      <c r="G799" s="18"/>
      <c r="H799" s="34"/>
      <c r="I799" s="34"/>
      <c r="J799" s="34"/>
    </row>
    <row r="800" spans="1:10">
      <c r="A800" s="49"/>
      <c r="B800" s="50"/>
      <c r="C800" s="18"/>
      <c r="D800" s="18"/>
      <c r="E800" s="18"/>
      <c r="F800" s="58"/>
      <c r="G800" s="18"/>
      <c r="H800" s="34"/>
      <c r="I800" s="34"/>
      <c r="J800" s="34"/>
    </row>
    <row r="801" spans="1:10">
      <c r="A801" s="49"/>
      <c r="B801" s="50"/>
      <c r="C801" s="18"/>
      <c r="D801" s="18"/>
      <c r="E801" s="18"/>
      <c r="F801" s="58"/>
      <c r="G801" s="18"/>
      <c r="H801" s="34"/>
      <c r="I801" s="34"/>
      <c r="J801" s="34"/>
    </row>
    <row r="802" spans="1:10">
      <c r="A802" s="49"/>
      <c r="B802" s="50"/>
      <c r="C802" s="18"/>
      <c r="D802" s="18"/>
      <c r="E802" s="18"/>
      <c r="F802" s="58"/>
      <c r="G802" s="18"/>
      <c r="H802" s="34"/>
      <c r="I802" s="34"/>
      <c r="J802" s="34"/>
    </row>
    <row r="803" spans="1:10">
      <c r="A803" s="49"/>
      <c r="B803" s="50"/>
      <c r="C803" s="18"/>
      <c r="D803" s="18"/>
      <c r="E803" s="18"/>
      <c r="F803" s="58"/>
      <c r="G803" s="18"/>
      <c r="H803" s="34"/>
      <c r="I803" s="34"/>
      <c r="J803" s="34"/>
    </row>
    <row r="804" spans="1:10">
      <c r="A804" s="49"/>
      <c r="B804" s="50"/>
      <c r="C804" s="18"/>
      <c r="D804" s="18"/>
      <c r="E804" s="18"/>
      <c r="F804" s="58"/>
      <c r="G804" s="18"/>
      <c r="H804" s="34"/>
      <c r="I804" s="34"/>
      <c r="J804" s="34"/>
    </row>
    <row r="805" spans="1:10">
      <c r="A805" s="49"/>
      <c r="B805" s="50"/>
      <c r="C805" s="18"/>
      <c r="D805" s="18"/>
      <c r="E805" s="18"/>
      <c r="F805" s="58"/>
      <c r="G805" s="18"/>
      <c r="H805" s="34"/>
      <c r="I805" s="34"/>
      <c r="J805" s="34"/>
    </row>
    <row r="806" spans="1:10">
      <c r="A806" s="49"/>
      <c r="B806" s="50"/>
      <c r="C806" s="18"/>
      <c r="D806" s="18"/>
      <c r="E806" s="18"/>
      <c r="F806" s="58"/>
      <c r="G806" s="18"/>
      <c r="H806" s="34"/>
      <c r="I806" s="34"/>
      <c r="J806" s="34"/>
    </row>
    <row r="807" spans="1:10">
      <c r="A807" s="49"/>
      <c r="B807" s="50"/>
      <c r="C807" s="18"/>
      <c r="D807" s="18"/>
      <c r="E807" s="18"/>
      <c r="F807" s="58"/>
      <c r="G807" s="18"/>
      <c r="H807" s="34"/>
      <c r="I807" s="34"/>
      <c r="J807" s="34"/>
    </row>
    <row r="808" spans="1:10">
      <c r="A808" s="49"/>
      <c r="B808" s="50"/>
      <c r="C808" s="18"/>
      <c r="D808" s="18"/>
      <c r="E808" s="18"/>
      <c r="F808" s="58"/>
      <c r="G808" s="18"/>
      <c r="H808" s="34"/>
      <c r="I808" s="34"/>
      <c r="J808" s="34"/>
    </row>
    <row r="809" spans="1:10">
      <c r="A809" s="49"/>
      <c r="B809" s="50"/>
      <c r="C809" s="18"/>
      <c r="D809" s="18"/>
      <c r="E809" s="18"/>
      <c r="F809" s="58"/>
      <c r="G809" s="18"/>
      <c r="H809" s="34"/>
      <c r="I809" s="34"/>
      <c r="J809" s="34"/>
    </row>
    <row r="810" spans="1:10">
      <c r="A810" s="49"/>
      <c r="B810" s="50"/>
      <c r="C810" s="18"/>
      <c r="D810" s="18"/>
      <c r="E810" s="18"/>
      <c r="F810" s="58"/>
      <c r="G810" s="18"/>
      <c r="H810" s="34"/>
      <c r="I810" s="34"/>
      <c r="J810" s="34"/>
    </row>
    <row r="811" spans="1:10">
      <c r="A811" s="49"/>
      <c r="B811" s="50"/>
      <c r="C811" s="18"/>
      <c r="D811" s="18"/>
      <c r="E811" s="18"/>
      <c r="F811" s="58"/>
      <c r="G811" s="18"/>
      <c r="H811" s="34"/>
      <c r="I811" s="34"/>
      <c r="J811" s="34"/>
    </row>
    <row r="812" spans="1:10">
      <c r="A812" s="49"/>
      <c r="B812" s="50"/>
      <c r="C812" s="18"/>
      <c r="D812" s="18"/>
      <c r="E812" s="18"/>
      <c r="F812" s="58"/>
      <c r="G812" s="18"/>
      <c r="H812" s="34"/>
      <c r="I812" s="34"/>
      <c r="J812" s="34"/>
    </row>
    <row r="813" spans="1:10">
      <c r="A813" s="49"/>
      <c r="B813" s="50"/>
      <c r="C813" s="18"/>
      <c r="D813" s="18"/>
      <c r="E813" s="18"/>
      <c r="F813" s="58"/>
      <c r="G813" s="18"/>
      <c r="H813" s="34"/>
      <c r="I813" s="34"/>
      <c r="J813" s="34"/>
    </row>
    <row r="814" spans="1:10">
      <c r="A814" s="49"/>
      <c r="B814" s="50"/>
      <c r="C814" s="18"/>
      <c r="D814" s="18"/>
      <c r="E814" s="18"/>
      <c r="F814" s="58"/>
      <c r="G814" s="18"/>
      <c r="H814" s="34"/>
      <c r="I814" s="34"/>
      <c r="J814" s="34"/>
    </row>
    <row r="815" spans="1:10">
      <c r="A815" s="49"/>
      <c r="B815" s="50"/>
      <c r="C815" s="18"/>
      <c r="D815" s="18"/>
      <c r="E815" s="18"/>
      <c r="F815" s="58"/>
      <c r="G815" s="18"/>
      <c r="H815" s="34"/>
      <c r="I815" s="34"/>
      <c r="J815" s="34"/>
    </row>
    <row r="816" spans="1:10">
      <c r="A816" s="49"/>
      <c r="B816" s="50"/>
      <c r="C816" s="18"/>
      <c r="D816" s="18"/>
      <c r="E816" s="18"/>
      <c r="F816" s="58"/>
      <c r="G816" s="18"/>
      <c r="H816" s="34"/>
      <c r="I816" s="34"/>
      <c r="J816" s="34"/>
    </row>
    <row r="817" spans="1:10">
      <c r="A817" s="49"/>
      <c r="B817" s="50"/>
      <c r="C817" s="18"/>
      <c r="D817" s="18"/>
      <c r="E817" s="18"/>
      <c r="F817" s="58"/>
      <c r="G817" s="18"/>
      <c r="H817" s="34"/>
      <c r="I817" s="34"/>
      <c r="J817" s="34"/>
    </row>
    <row r="818" spans="1:10">
      <c r="A818" s="49"/>
      <c r="B818" s="50"/>
      <c r="C818" s="18"/>
      <c r="D818" s="18"/>
      <c r="E818" s="18"/>
      <c r="F818" s="58"/>
      <c r="G818" s="18"/>
      <c r="H818" s="34"/>
      <c r="I818" s="34"/>
      <c r="J818" s="34"/>
    </row>
    <row r="819" spans="1:10">
      <c r="A819" s="49"/>
      <c r="B819" s="50"/>
      <c r="C819" s="18"/>
      <c r="D819" s="18"/>
      <c r="E819" s="18"/>
      <c r="F819" s="58"/>
      <c r="G819" s="18"/>
      <c r="H819" s="34"/>
      <c r="I819" s="34"/>
      <c r="J819" s="34"/>
    </row>
    <row r="820" spans="1:10">
      <c r="A820" s="49"/>
      <c r="B820" s="50"/>
      <c r="C820" s="18"/>
      <c r="D820" s="18"/>
      <c r="E820" s="18"/>
      <c r="F820" s="58"/>
      <c r="G820" s="18"/>
      <c r="H820" s="34"/>
      <c r="I820" s="34"/>
      <c r="J820" s="34"/>
    </row>
    <row r="821" spans="1:10">
      <c r="A821" s="49"/>
      <c r="B821" s="50"/>
      <c r="C821" s="18"/>
      <c r="D821" s="18"/>
      <c r="E821" s="18"/>
      <c r="F821" s="58"/>
      <c r="G821" s="18"/>
      <c r="H821" s="34"/>
      <c r="I821" s="34"/>
      <c r="J821" s="34"/>
    </row>
    <row r="822" spans="1:10">
      <c r="A822" s="49"/>
      <c r="B822" s="50"/>
      <c r="C822" s="18"/>
      <c r="D822" s="18"/>
      <c r="E822" s="18"/>
      <c r="F822" s="58"/>
      <c r="G822" s="18"/>
      <c r="H822" s="34"/>
      <c r="I822" s="34"/>
      <c r="J822" s="34"/>
    </row>
    <row r="823" spans="1:10">
      <c r="A823" s="49"/>
      <c r="B823" s="50"/>
      <c r="C823" s="18"/>
      <c r="D823" s="18"/>
      <c r="E823" s="18"/>
      <c r="F823" s="58"/>
      <c r="G823" s="18"/>
      <c r="H823" s="34"/>
      <c r="I823" s="34"/>
      <c r="J823" s="34"/>
    </row>
    <row r="824" spans="1:10">
      <c r="A824" s="49"/>
      <c r="B824" s="50"/>
      <c r="C824" s="18"/>
      <c r="D824" s="18"/>
      <c r="E824" s="18"/>
      <c r="F824" s="58"/>
      <c r="G824" s="18"/>
      <c r="H824" s="34"/>
      <c r="I824" s="34"/>
      <c r="J824" s="34"/>
    </row>
    <row r="825" spans="1:10">
      <c r="A825" s="49"/>
      <c r="B825" s="50"/>
      <c r="C825" s="18"/>
      <c r="D825" s="18"/>
      <c r="E825" s="18"/>
      <c r="F825" s="58"/>
      <c r="G825" s="18"/>
      <c r="H825" s="34"/>
      <c r="I825" s="34"/>
      <c r="J825" s="34"/>
    </row>
    <row r="826" spans="1:10">
      <c r="A826" s="49"/>
      <c r="B826" s="50"/>
      <c r="C826" s="18"/>
      <c r="D826" s="18"/>
      <c r="E826" s="18"/>
      <c r="F826" s="58"/>
      <c r="G826" s="18"/>
      <c r="H826" s="34"/>
      <c r="I826" s="34"/>
      <c r="J826" s="34"/>
    </row>
    <row r="827" spans="1:10">
      <c r="A827" s="49"/>
      <c r="B827" s="50"/>
      <c r="C827" s="18"/>
      <c r="D827" s="18"/>
      <c r="E827" s="18"/>
      <c r="F827" s="58"/>
      <c r="G827" s="18"/>
      <c r="H827" s="34"/>
      <c r="I827" s="34"/>
      <c r="J827" s="34"/>
    </row>
    <row r="828" spans="1:10">
      <c r="A828" s="49"/>
      <c r="B828" s="50"/>
      <c r="C828" s="18"/>
      <c r="D828" s="18"/>
      <c r="E828" s="18"/>
      <c r="F828" s="58"/>
      <c r="G828" s="18"/>
      <c r="H828" s="34"/>
      <c r="I828" s="34"/>
      <c r="J828" s="34"/>
    </row>
    <row r="829" spans="1:10">
      <c r="A829" s="49"/>
      <c r="B829" s="50"/>
      <c r="C829" s="18"/>
      <c r="D829" s="18"/>
      <c r="E829" s="18"/>
      <c r="F829" s="58"/>
      <c r="G829" s="18"/>
      <c r="H829" s="34"/>
      <c r="I829" s="34"/>
      <c r="J829" s="34"/>
    </row>
    <row r="830" spans="1:10">
      <c r="A830" s="49"/>
      <c r="B830" s="50"/>
      <c r="C830" s="18"/>
      <c r="D830" s="18"/>
      <c r="E830" s="18"/>
      <c r="F830" s="58"/>
      <c r="G830" s="18"/>
      <c r="H830" s="34"/>
      <c r="I830" s="34"/>
      <c r="J830" s="34"/>
    </row>
    <row r="831" spans="1:10">
      <c r="A831" s="49"/>
      <c r="B831" s="50"/>
      <c r="C831" s="18"/>
      <c r="D831" s="18"/>
      <c r="E831" s="18"/>
      <c r="F831" s="58"/>
      <c r="G831" s="18"/>
      <c r="H831" s="34"/>
      <c r="I831" s="34"/>
      <c r="J831" s="34"/>
    </row>
    <row r="832" spans="1:10">
      <c r="A832" s="49"/>
      <c r="B832" s="50"/>
      <c r="C832" s="18"/>
      <c r="D832" s="18"/>
      <c r="E832" s="18"/>
      <c r="F832" s="58"/>
      <c r="G832" s="18"/>
      <c r="H832" s="34"/>
      <c r="I832" s="34"/>
      <c r="J832" s="34"/>
    </row>
    <row r="833" spans="1:10">
      <c r="A833" s="49"/>
      <c r="B833" s="50"/>
      <c r="C833" s="18"/>
      <c r="D833" s="18"/>
      <c r="E833" s="18"/>
      <c r="F833" s="58"/>
      <c r="G833" s="18"/>
      <c r="H833" s="34"/>
      <c r="I833" s="34"/>
      <c r="J833" s="34"/>
    </row>
    <row r="834" spans="1:10">
      <c r="A834" s="49"/>
      <c r="B834" s="50"/>
      <c r="C834" s="18"/>
      <c r="D834" s="18"/>
      <c r="E834" s="18"/>
      <c r="F834" s="58"/>
      <c r="G834" s="18"/>
      <c r="H834" s="34"/>
      <c r="I834" s="34"/>
      <c r="J834" s="34"/>
    </row>
    <row r="835" spans="1:10">
      <c r="A835" s="49"/>
      <c r="B835" s="50"/>
      <c r="C835" s="18"/>
      <c r="D835" s="18"/>
      <c r="E835" s="18"/>
      <c r="F835" s="58"/>
      <c r="G835" s="18"/>
      <c r="H835" s="34"/>
      <c r="I835" s="34"/>
      <c r="J835" s="34"/>
    </row>
    <row r="836" spans="1:10">
      <c r="A836" s="49"/>
      <c r="B836" s="50"/>
      <c r="C836" s="18"/>
      <c r="D836" s="18"/>
      <c r="E836" s="18"/>
      <c r="F836" s="58"/>
      <c r="G836" s="18"/>
      <c r="H836" s="34"/>
      <c r="I836" s="34"/>
      <c r="J836" s="34"/>
    </row>
    <row r="837" spans="1:10">
      <c r="A837" s="49"/>
      <c r="B837" s="50"/>
      <c r="C837" s="18"/>
      <c r="D837" s="18"/>
      <c r="E837" s="18"/>
      <c r="F837" s="58"/>
      <c r="G837" s="18"/>
      <c r="H837" s="34"/>
      <c r="I837" s="34"/>
      <c r="J837" s="34"/>
    </row>
    <row r="838" spans="1:10">
      <c r="A838" s="49"/>
      <c r="B838" s="50"/>
      <c r="C838" s="18"/>
      <c r="D838" s="18"/>
      <c r="E838" s="18"/>
      <c r="F838" s="58"/>
      <c r="G838" s="18"/>
      <c r="H838" s="34"/>
      <c r="I838" s="34"/>
      <c r="J838" s="34"/>
    </row>
    <row r="839" spans="1:10">
      <c r="A839" s="49"/>
      <c r="B839" s="50"/>
      <c r="C839" s="18"/>
      <c r="D839" s="18"/>
      <c r="E839" s="18"/>
      <c r="F839" s="58"/>
      <c r="G839" s="18"/>
      <c r="H839" s="34"/>
      <c r="I839" s="34"/>
      <c r="J839" s="34"/>
    </row>
    <row r="840" spans="1:10">
      <c r="A840" s="49"/>
      <c r="B840" s="50"/>
      <c r="C840" s="18"/>
      <c r="D840" s="18"/>
      <c r="E840" s="18"/>
      <c r="F840" s="58"/>
      <c r="G840" s="18"/>
      <c r="H840" s="34"/>
      <c r="I840" s="34"/>
      <c r="J840" s="34"/>
    </row>
    <row r="841" spans="1:10">
      <c r="A841" s="49"/>
      <c r="B841" s="50"/>
      <c r="C841" s="18"/>
      <c r="D841" s="18"/>
      <c r="E841" s="18"/>
      <c r="F841" s="58"/>
      <c r="G841" s="18"/>
      <c r="H841" s="34"/>
      <c r="I841" s="34"/>
      <c r="J841" s="34"/>
    </row>
    <row r="842" spans="1:10">
      <c r="A842" s="49"/>
      <c r="B842" s="50"/>
      <c r="C842" s="18"/>
      <c r="D842" s="18"/>
      <c r="E842" s="18"/>
      <c r="F842" s="58"/>
      <c r="G842" s="18"/>
      <c r="H842" s="34"/>
      <c r="I842" s="34"/>
      <c r="J842" s="34"/>
    </row>
    <row r="843" spans="1:10">
      <c r="A843" s="49"/>
      <c r="B843" s="50"/>
      <c r="C843" s="18"/>
      <c r="D843" s="18"/>
      <c r="E843" s="18"/>
      <c r="F843" s="58"/>
      <c r="G843" s="18"/>
      <c r="H843" s="34"/>
      <c r="I843" s="34"/>
      <c r="J843" s="34"/>
    </row>
    <row r="844" spans="1:10">
      <c r="A844" s="49"/>
      <c r="B844" s="50"/>
      <c r="C844" s="18"/>
      <c r="D844" s="18"/>
      <c r="E844" s="18"/>
      <c r="F844" s="58"/>
      <c r="G844" s="18"/>
      <c r="H844" s="34"/>
      <c r="I844" s="34"/>
      <c r="J844" s="34"/>
    </row>
    <row r="845" spans="1:10">
      <c r="A845" s="49"/>
      <c r="B845" s="50"/>
      <c r="C845" s="18"/>
      <c r="D845" s="18"/>
      <c r="E845" s="18"/>
      <c r="F845" s="58"/>
      <c r="G845" s="18"/>
      <c r="H845" s="34"/>
      <c r="I845" s="34"/>
      <c r="J845" s="34"/>
    </row>
    <row r="846" spans="1:10">
      <c r="A846" s="49"/>
      <c r="B846" s="50"/>
      <c r="C846" s="18"/>
      <c r="D846" s="18"/>
      <c r="E846" s="18"/>
      <c r="F846" s="58"/>
      <c r="G846" s="18"/>
      <c r="H846" s="34"/>
      <c r="I846" s="34"/>
      <c r="J846" s="34"/>
    </row>
    <row r="847" spans="1:10">
      <c r="A847" s="49"/>
      <c r="B847" s="50"/>
      <c r="C847" s="18"/>
      <c r="D847" s="18"/>
      <c r="E847" s="18"/>
      <c r="F847" s="58"/>
      <c r="G847" s="18"/>
      <c r="H847" s="34"/>
      <c r="I847" s="34"/>
      <c r="J847" s="34"/>
    </row>
    <row r="848" spans="1:10">
      <c r="A848" s="49"/>
      <c r="B848" s="50"/>
      <c r="C848" s="18"/>
      <c r="D848" s="18"/>
      <c r="E848" s="18"/>
      <c r="F848" s="58"/>
      <c r="G848" s="18"/>
      <c r="H848" s="34"/>
      <c r="I848" s="34"/>
      <c r="J848" s="34"/>
    </row>
    <row r="849" spans="1:10">
      <c r="A849" s="49"/>
      <c r="B849" s="50"/>
      <c r="C849" s="18"/>
      <c r="D849" s="18"/>
      <c r="E849" s="18"/>
      <c r="F849" s="58"/>
      <c r="G849" s="18"/>
      <c r="H849" s="34"/>
      <c r="I849" s="34"/>
      <c r="J849" s="34"/>
    </row>
    <row r="850" spans="1:10">
      <c r="A850" s="49"/>
      <c r="B850" s="50"/>
      <c r="C850" s="18"/>
      <c r="D850" s="18"/>
      <c r="E850" s="18"/>
      <c r="F850" s="58"/>
      <c r="G850" s="18"/>
      <c r="H850" s="34"/>
      <c r="I850" s="34"/>
      <c r="J850" s="34"/>
    </row>
    <row r="851" spans="1:10">
      <c r="A851" s="49"/>
      <c r="B851" s="50"/>
      <c r="C851" s="18"/>
      <c r="D851" s="18"/>
      <c r="E851" s="18"/>
      <c r="F851" s="58"/>
      <c r="G851" s="18"/>
      <c r="H851" s="34"/>
      <c r="I851" s="34"/>
      <c r="J851" s="34"/>
    </row>
    <row r="852" spans="1:10">
      <c r="A852" s="49"/>
      <c r="B852" s="50"/>
      <c r="C852" s="18"/>
      <c r="D852" s="18"/>
      <c r="E852" s="18"/>
      <c r="F852" s="58"/>
      <c r="G852" s="18"/>
      <c r="H852" s="34"/>
      <c r="I852" s="34"/>
      <c r="J852" s="34"/>
    </row>
    <row r="853" spans="1:10">
      <c r="A853" s="49"/>
      <c r="B853" s="50"/>
      <c r="C853" s="18"/>
      <c r="D853" s="18"/>
      <c r="E853" s="18"/>
      <c r="F853" s="58"/>
      <c r="G853" s="18"/>
      <c r="H853" s="34"/>
      <c r="I853" s="34"/>
      <c r="J853" s="34"/>
    </row>
    <row r="854" spans="1:10">
      <c r="A854" s="49"/>
      <c r="B854" s="50"/>
      <c r="C854" s="18"/>
      <c r="D854" s="18"/>
      <c r="E854" s="18"/>
      <c r="F854" s="58"/>
      <c r="G854" s="18"/>
      <c r="H854" s="34"/>
      <c r="I854" s="34"/>
      <c r="J854" s="34"/>
    </row>
    <row r="855" spans="1:10">
      <c r="A855" s="49"/>
      <c r="B855" s="50"/>
      <c r="C855" s="18"/>
      <c r="D855" s="18"/>
      <c r="E855" s="18"/>
      <c r="F855" s="58"/>
      <c r="G855" s="18"/>
      <c r="H855" s="34"/>
      <c r="I855" s="34"/>
      <c r="J855" s="34"/>
    </row>
    <row r="856" spans="1:10">
      <c r="A856" s="49"/>
      <c r="B856" s="50"/>
      <c r="C856" s="18"/>
      <c r="D856" s="18"/>
      <c r="E856" s="18"/>
      <c r="F856" s="58"/>
      <c r="G856" s="18"/>
      <c r="H856" s="34"/>
      <c r="I856" s="34"/>
      <c r="J856" s="34"/>
    </row>
    <row r="857" spans="1:10">
      <c r="A857" s="49"/>
      <c r="B857" s="50"/>
      <c r="C857" s="18"/>
      <c r="D857" s="18"/>
      <c r="E857" s="18"/>
      <c r="F857" s="58"/>
      <c r="G857" s="18"/>
      <c r="H857" s="34"/>
      <c r="I857" s="34"/>
      <c r="J857" s="34"/>
    </row>
    <row r="858" spans="1:10">
      <c r="A858" s="49"/>
      <c r="B858" s="50"/>
      <c r="C858" s="18"/>
      <c r="D858" s="18"/>
      <c r="E858" s="18"/>
      <c r="F858" s="58"/>
      <c r="G858" s="18"/>
      <c r="H858" s="34"/>
      <c r="I858" s="34"/>
      <c r="J858" s="34"/>
    </row>
    <row r="859" spans="1:10">
      <c r="A859" s="49"/>
      <c r="B859" s="50"/>
      <c r="C859" s="18"/>
      <c r="D859" s="18"/>
      <c r="E859" s="18"/>
      <c r="F859" s="58"/>
      <c r="G859" s="18"/>
      <c r="H859" s="34"/>
      <c r="I859" s="34"/>
      <c r="J859" s="34"/>
    </row>
    <row r="860" spans="1:10">
      <c r="A860" s="49"/>
      <c r="B860" s="50"/>
      <c r="C860" s="18"/>
      <c r="D860" s="18"/>
      <c r="E860" s="18"/>
      <c r="F860" s="58"/>
      <c r="G860" s="18"/>
      <c r="H860" s="34"/>
      <c r="I860" s="34"/>
      <c r="J860" s="34"/>
    </row>
    <row r="861" spans="1:10">
      <c r="A861" s="49"/>
      <c r="B861" s="50"/>
      <c r="C861" s="18"/>
      <c r="D861" s="18"/>
      <c r="E861" s="18"/>
      <c r="F861" s="58"/>
      <c r="G861" s="18"/>
      <c r="H861" s="34"/>
      <c r="I861" s="34"/>
      <c r="J861" s="34"/>
    </row>
    <row r="862" spans="1:10">
      <c r="A862" s="49"/>
      <c r="B862" s="50"/>
      <c r="C862" s="18"/>
      <c r="D862" s="18"/>
      <c r="E862" s="18"/>
      <c r="F862" s="58"/>
      <c r="G862" s="18"/>
      <c r="H862" s="34"/>
      <c r="I862" s="34"/>
      <c r="J862" s="34"/>
    </row>
    <row r="863" spans="1:10">
      <c r="A863" s="49"/>
      <c r="B863" s="50"/>
      <c r="C863" s="18"/>
      <c r="D863" s="18"/>
      <c r="E863" s="18"/>
      <c r="F863" s="58"/>
      <c r="G863" s="18"/>
      <c r="H863" s="34"/>
      <c r="I863" s="34"/>
      <c r="J863" s="34"/>
    </row>
    <row r="864" spans="1:10">
      <c r="A864" s="49"/>
      <c r="B864" s="50"/>
      <c r="C864" s="18"/>
      <c r="D864" s="18"/>
      <c r="E864" s="18"/>
      <c r="F864" s="58"/>
      <c r="G864" s="18"/>
      <c r="H864" s="34"/>
      <c r="I864" s="34"/>
      <c r="J864" s="34"/>
    </row>
    <row r="865" spans="1:10">
      <c r="A865" s="49"/>
      <c r="B865" s="50"/>
      <c r="C865" s="18"/>
      <c r="D865" s="18"/>
      <c r="E865" s="18"/>
      <c r="F865" s="58"/>
      <c r="G865" s="18"/>
      <c r="H865" s="34"/>
      <c r="I865" s="34"/>
      <c r="J865" s="34"/>
    </row>
    <row r="866" spans="1:10">
      <c r="A866" s="49"/>
      <c r="B866" s="50"/>
      <c r="C866" s="18"/>
      <c r="D866" s="18"/>
      <c r="E866" s="18"/>
      <c r="F866" s="58"/>
      <c r="G866" s="18"/>
      <c r="H866" s="34"/>
      <c r="I866" s="34"/>
      <c r="J866" s="34"/>
    </row>
    <row r="867" spans="1:10">
      <c r="A867" s="49"/>
      <c r="B867" s="50"/>
      <c r="C867" s="18"/>
      <c r="D867" s="18"/>
      <c r="E867" s="18"/>
      <c r="F867" s="58"/>
      <c r="G867" s="18"/>
      <c r="H867" s="34"/>
      <c r="I867" s="34"/>
      <c r="J867" s="34"/>
    </row>
    <row r="868" spans="1:10">
      <c r="A868" s="49"/>
      <c r="B868" s="50"/>
      <c r="C868" s="18"/>
      <c r="D868" s="18"/>
      <c r="E868" s="18"/>
      <c r="F868" s="58"/>
      <c r="G868" s="18"/>
      <c r="H868" s="34"/>
      <c r="I868" s="34"/>
      <c r="J868" s="34"/>
    </row>
    <row r="869" spans="1:10">
      <c r="A869" s="49"/>
      <c r="B869" s="50"/>
      <c r="C869" s="18"/>
      <c r="D869" s="18"/>
      <c r="E869" s="18"/>
      <c r="F869" s="58"/>
      <c r="G869" s="18"/>
      <c r="H869" s="34"/>
      <c r="I869" s="34"/>
      <c r="J869" s="34"/>
    </row>
    <row r="870" spans="1:10">
      <c r="A870" s="49"/>
      <c r="B870" s="50"/>
      <c r="C870" s="18"/>
      <c r="D870" s="18"/>
      <c r="E870" s="18"/>
      <c r="F870" s="58"/>
      <c r="G870" s="18"/>
      <c r="H870" s="34"/>
      <c r="I870" s="34"/>
      <c r="J870" s="34"/>
    </row>
    <row r="871" spans="1:10">
      <c r="A871" s="49"/>
      <c r="B871" s="50"/>
      <c r="C871" s="18"/>
      <c r="D871" s="18"/>
      <c r="E871" s="18"/>
      <c r="F871" s="58"/>
      <c r="G871" s="18"/>
      <c r="H871" s="34"/>
      <c r="I871" s="34"/>
      <c r="J871" s="34"/>
    </row>
    <row r="872" spans="1:10">
      <c r="A872" s="49"/>
      <c r="B872" s="50"/>
      <c r="C872" s="18"/>
      <c r="D872" s="18"/>
      <c r="E872" s="18"/>
      <c r="F872" s="58"/>
      <c r="G872" s="18"/>
      <c r="H872" s="34"/>
      <c r="I872" s="34"/>
      <c r="J872" s="34"/>
    </row>
    <row r="873" spans="1:10">
      <c r="A873" s="49"/>
      <c r="B873" s="50"/>
      <c r="C873" s="18"/>
      <c r="D873" s="18"/>
      <c r="E873" s="18"/>
      <c r="F873" s="58"/>
      <c r="G873" s="18"/>
      <c r="H873" s="34"/>
      <c r="I873" s="34"/>
      <c r="J873" s="34"/>
    </row>
    <row r="874" spans="1:10">
      <c r="A874" s="49"/>
      <c r="B874" s="50"/>
      <c r="C874" s="18"/>
      <c r="D874" s="18"/>
      <c r="E874" s="18"/>
      <c r="F874" s="58"/>
      <c r="G874" s="18"/>
      <c r="H874" s="34"/>
      <c r="I874" s="34"/>
      <c r="J874" s="34"/>
    </row>
    <row r="875" spans="1:10">
      <c r="A875" s="49"/>
      <c r="B875" s="50"/>
      <c r="C875" s="18"/>
      <c r="D875" s="18"/>
      <c r="E875" s="18"/>
      <c r="F875" s="58"/>
      <c r="G875" s="18"/>
      <c r="H875" s="34"/>
      <c r="I875" s="34"/>
      <c r="J875" s="34"/>
    </row>
    <row r="876" spans="1:10">
      <c r="A876" s="49"/>
      <c r="B876" s="50"/>
      <c r="C876" s="18"/>
      <c r="D876" s="18"/>
      <c r="E876" s="18"/>
      <c r="F876" s="58"/>
      <c r="G876" s="18"/>
      <c r="H876" s="34"/>
      <c r="I876" s="34"/>
      <c r="J876" s="34"/>
    </row>
    <row r="877" spans="1:10">
      <c r="A877" s="49"/>
      <c r="B877" s="50"/>
      <c r="C877" s="18"/>
      <c r="D877" s="18"/>
      <c r="E877" s="18"/>
      <c r="F877" s="58"/>
      <c r="G877" s="18"/>
      <c r="H877" s="34"/>
      <c r="I877" s="34"/>
      <c r="J877" s="34"/>
    </row>
    <row r="878" spans="1:10">
      <c r="A878" s="49"/>
      <c r="B878" s="50"/>
      <c r="C878" s="18"/>
      <c r="D878" s="18"/>
      <c r="E878" s="18"/>
      <c r="F878" s="58"/>
      <c r="G878" s="18"/>
      <c r="H878" s="34"/>
      <c r="I878" s="34"/>
      <c r="J878" s="34"/>
    </row>
    <row r="879" spans="1:10">
      <c r="A879" s="49"/>
      <c r="B879" s="50"/>
      <c r="C879" s="18"/>
      <c r="D879" s="18"/>
      <c r="E879" s="18"/>
      <c r="F879" s="58"/>
      <c r="G879" s="18"/>
      <c r="H879" s="34"/>
      <c r="I879" s="34"/>
      <c r="J879" s="34"/>
    </row>
    <row r="880" spans="1:10">
      <c r="A880" s="49"/>
      <c r="B880" s="50"/>
      <c r="C880" s="18"/>
      <c r="D880" s="18"/>
      <c r="E880" s="18"/>
      <c r="F880" s="58"/>
      <c r="G880" s="18"/>
      <c r="H880" s="34"/>
      <c r="I880" s="34"/>
      <c r="J880" s="34"/>
    </row>
    <row r="881" spans="1:10">
      <c r="A881" s="49"/>
      <c r="B881" s="50"/>
      <c r="C881" s="18"/>
      <c r="D881" s="18"/>
      <c r="E881" s="18"/>
      <c r="F881" s="58"/>
      <c r="G881" s="18"/>
      <c r="H881" s="34"/>
      <c r="I881" s="34"/>
      <c r="J881" s="34"/>
    </row>
    <row r="882" spans="1:10">
      <c r="A882" s="49"/>
      <c r="B882" s="50"/>
      <c r="C882" s="18"/>
      <c r="D882" s="18"/>
      <c r="E882" s="18"/>
      <c r="F882" s="58"/>
      <c r="G882" s="18"/>
      <c r="H882" s="34"/>
      <c r="I882" s="34"/>
      <c r="J882" s="34"/>
    </row>
    <row r="883" spans="1:10">
      <c r="A883" s="49"/>
      <c r="B883" s="50"/>
      <c r="C883" s="18"/>
      <c r="D883" s="18"/>
      <c r="E883" s="18"/>
      <c r="F883" s="58"/>
      <c r="G883" s="18"/>
      <c r="H883" s="34"/>
      <c r="I883" s="34"/>
      <c r="J883" s="34"/>
    </row>
    <row r="884" spans="1:10">
      <c r="A884" s="49"/>
      <c r="B884" s="50"/>
      <c r="C884" s="18"/>
      <c r="D884" s="18"/>
      <c r="E884" s="18"/>
      <c r="F884" s="58"/>
      <c r="G884" s="18"/>
      <c r="H884" s="34"/>
      <c r="I884" s="34"/>
      <c r="J884" s="34"/>
    </row>
    <row r="885" spans="1:10">
      <c r="A885" s="49"/>
      <c r="B885" s="50"/>
      <c r="C885" s="18"/>
      <c r="D885" s="18"/>
      <c r="E885" s="18"/>
      <c r="F885" s="58"/>
      <c r="G885" s="18"/>
      <c r="H885" s="34"/>
      <c r="I885" s="34"/>
      <c r="J885" s="34"/>
    </row>
    <row r="886" spans="1:10">
      <c r="A886" s="49"/>
      <c r="B886" s="50"/>
      <c r="C886" s="18"/>
      <c r="D886" s="18"/>
      <c r="E886" s="18"/>
      <c r="F886" s="58"/>
      <c r="G886" s="18"/>
      <c r="H886" s="34"/>
      <c r="I886" s="34"/>
      <c r="J886" s="34"/>
    </row>
    <row r="887" spans="1:10">
      <c r="A887" s="49"/>
      <c r="B887" s="50"/>
      <c r="C887" s="18"/>
      <c r="D887" s="18"/>
      <c r="E887" s="18"/>
      <c r="F887" s="58"/>
      <c r="G887" s="18"/>
      <c r="H887" s="34"/>
      <c r="I887" s="34"/>
      <c r="J887" s="34"/>
    </row>
    <row r="888" spans="1:10">
      <c r="A888" s="49"/>
      <c r="B888" s="50"/>
      <c r="C888" s="18"/>
      <c r="D888" s="18"/>
      <c r="E888" s="18"/>
      <c r="F888" s="58"/>
      <c r="G888" s="18"/>
      <c r="H888" s="34"/>
      <c r="I888" s="34"/>
      <c r="J888" s="34"/>
    </row>
    <row r="889" spans="1:10">
      <c r="A889" s="49"/>
      <c r="B889" s="50"/>
      <c r="C889" s="18"/>
      <c r="D889" s="18"/>
      <c r="E889" s="18"/>
      <c r="F889" s="58"/>
      <c r="G889" s="18"/>
      <c r="H889" s="34"/>
      <c r="I889" s="34"/>
      <c r="J889" s="34"/>
    </row>
    <row r="890" spans="1:10">
      <c r="A890" s="49"/>
      <c r="B890" s="50"/>
      <c r="C890" s="18"/>
      <c r="D890" s="18"/>
      <c r="E890" s="18"/>
      <c r="F890" s="58"/>
      <c r="G890" s="18"/>
      <c r="H890" s="34"/>
      <c r="I890" s="34"/>
      <c r="J890" s="34"/>
    </row>
    <row r="891" spans="1:10">
      <c r="A891" s="49"/>
      <c r="B891" s="50"/>
      <c r="C891" s="18"/>
      <c r="D891" s="18"/>
      <c r="E891" s="18"/>
      <c r="F891" s="58"/>
      <c r="G891" s="18"/>
      <c r="H891" s="34"/>
      <c r="I891" s="34"/>
      <c r="J891" s="34"/>
    </row>
    <row r="892" spans="1:10">
      <c r="A892" s="49"/>
      <c r="B892" s="50"/>
      <c r="C892" s="18"/>
      <c r="D892" s="18"/>
      <c r="E892" s="18"/>
      <c r="F892" s="58"/>
      <c r="G892" s="18"/>
      <c r="H892" s="34"/>
      <c r="I892" s="34"/>
      <c r="J892" s="34"/>
    </row>
    <row r="893" spans="1:10">
      <c r="A893" s="49"/>
      <c r="B893" s="50"/>
      <c r="C893" s="18"/>
      <c r="D893" s="18"/>
      <c r="E893" s="18"/>
      <c r="F893" s="58"/>
      <c r="G893" s="18"/>
      <c r="H893" s="34"/>
      <c r="I893" s="34"/>
      <c r="J893" s="34"/>
    </row>
    <row r="894" spans="1:10">
      <c r="A894" s="49"/>
      <c r="B894" s="50"/>
      <c r="C894" s="18"/>
      <c r="D894" s="18"/>
      <c r="E894" s="18"/>
      <c r="F894" s="58"/>
      <c r="G894" s="18"/>
      <c r="H894" s="34"/>
      <c r="I894" s="34"/>
      <c r="J894" s="34"/>
    </row>
    <row r="895" spans="1:10">
      <c r="A895" s="49"/>
      <c r="B895" s="50"/>
      <c r="C895" s="18"/>
      <c r="D895" s="18"/>
      <c r="E895" s="18"/>
      <c r="F895" s="58"/>
      <c r="G895" s="18"/>
      <c r="H895" s="34"/>
      <c r="I895" s="34"/>
      <c r="J895" s="34"/>
    </row>
    <row r="896" spans="1:10">
      <c r="A896" s="49"/>
      <c r="B896" s="50"/>
      <c r="C896" s="18"/>
      <c r="D896" s="18"/>
      <c r="E896" s="18"/>
      <c r="F896" s="58"/>
      <c r="G896" s="18"/>
      <c r="H896" s="34"/>
      <c r="I896" s="34"/>
      <c r="J896" s="34"/>
    </row>
    <row r="897" spans="1:10">
      <c r="A897" s="49"/>
      <c r="B897" s="50"/>
      <c r="C897" s="18"/>
      <c r="D897" s="18"/>
      <c r="E897" s="18"/>
      <c r="F897" s="58"/>
      <c r="G897" s="18"/>
      <c r="H897" s="34"/>
      <c r="I897" s="34"/>
      <c r="J897" s="34"/>
    </row>
    <row r="898" spans="1:10">
      <c r="A898" s="49"/>
      <c r="B898" s="50"/>
      <c r="C898" s="18"/>
      <c r="D898" s="18"/>
      <c r="E898" s="18"/>
      <c r="F898" s="58"/>
      <c r="G898" s="18"/>
      <c r="H898" s="34"/>
      <c r="I898" s="34"/>
      <c r="J898" s="34"/>
    </row>
    <row r="899" spans="1:10">
      <c r="A899" s="49"/>
      <c r="B899" s="50"/>
      <c r="C899" s="18"/>
      <c r="D899" s="18"/>
      <c r="E899" s="18"/>
      <c r="F899" s="58"/>
      <c r="G899" s="18"/>
      <c r="H899" s="34"/>
      <c r="I899" s="34"/>
      <c r="J899" s="34"/>
    </row>
    <row r="900" spans="1:10">
      <c r="A900" s="49"/>
      <c r="B900" s="50"/>
      <c r="C900" s="18"/>
      <c r="D900" s="18"/>
      <c r="E900" s="18"/>
      <c r="F900" s="58"/>
      <c r="G900" s="18"/>
      <c r="H900" s="34"/>
      <c r="I900" s="34"/>
      <c r="J900" s="34"/>
    </row>
    <row r="901" spans="1:10">
      <c r="A901" s="49"/>
      <c r="B901" s="50"/>
      <c r="C901" s="18"/>
      <c r="D901" s="18"/>
      <c r="E901" s="18"/>
      <c r="F901" s="58"/>
      <c r="G901" s="18"/>
      <c r="H901" s="34"/>
      <c r="I901" s="34"/>
      <c r="J901" s="34"/>
    </row>
    <row r="902" spans="1:10">
      <c r="A902" s="49"/>
      <c r="B902" s="50"/>
      <c r="C902" s="18"/>
      <c r="D902" s="18"/>
      <c r="E902" s="18"/>
      <c r="F902" s="58"/>
      <c r="G902" s="18"/>
      <c r="H902" s="34"/>
      <c r="I902" s="34"/>
      <c r="J902" s="34"/>
    </row>
    <row r="903" spans="1:10">
      <c r="A903" s="49"/>
      <c r="B903" s="50"/>
      <c r="C903" s="18"/>
      <c r="D903" s="18"/>
      <c r="E903" s="18"/>
      <c r="F903" s="58"/>
      <c r="G903" s="18"/>
      <c r="H903" s="34"/>
      <c r="I903" s="34"/>
      <c r="J903" s="34"/>
    </row>
    <row r="904" spans="1:10">
      <c r="A904" s="49"/>
      <c r="B904" s="50"/>
      <c r="C904" s="18"/>
      <c r="D904" s="18"/>
      <c r="E904" s="18"/>
      <c r="F904" s="58"/>
      <c r="G904" s="18"/>
      <c r="H904" s="34"/>
      <c r="I904" s="34"/>
      <c r="J904" s="34"/>
    </row>
    <row r="905" spans="1:10">
      <c r="A905" s="49"/>
      <c r="B905" s="50"/>
      <c r="C905" s="18"/>
      <c r="D905" s="18"/>
      <c r="E905" s="18"/>
      <c r="F905" s="58"/>
      <c r="G905" s="18"/>
      <c r="H905" s="34"/>
      <c r="I905" s="34"/>
      <c r="J905" s="34"/>
    </row>
    <row r="906" spans="1:10">
      <c r="A906" s="49"/>
      <c r="B906" s="50"/>
      <c r="C906" s="18"/>
      <c r="D906" s="18"/>
      <c r="E906" s="18"/>
      <c r="F906" s="58"/>
      <c r="G906" s="18"/>
      <c r="H906" s="34"/>
      <c r="I906" s="34"/>
      <c r="J906" s="34"/>
    </row>
    <row r="907" spans="1:10">
      <c r="A907" s="49"/>
      <c r="B907" s="50"/>
      <c r="C907" s="18"/>
      <c r="D907" s="18"/>
      <c r="E907" s="18"/>
      <c r="F907" s="58"/>
      <c r="G907" s="18"/>
      <c r="H907" s="34"/>
      <c r="I907" s="34"/>
      <c r="J907" s="34"/>
    </row>
    <row r="908" spans="1:10">
      <c r="A908" s="49"/>
      <c r="B908" s="50"/>
      <c r="C908" s="18"/>
      <c r="D908" s="18"/>
      <c r="E908" s="18"/>
      <c r="F908" s="58"/>
      <c r="G908" s="18"/>
      <c r="H908" s="34"/>
      <c r="I908" s="34"/>
      <c r="J908" s="34"/>
    </row>
    <row r="909" spans="1:10">
      <c r="A909" s="49"/>
      <c r="B909" s="50"/>
      <c r="C909" s="18"/>
      <c r="D909" s="18"/>
      <c r="E909" s="18"/>
      <c r="F909" s="58"/>
      <c r="G909" s="18"/>
      <c r="H909" s="34"/>
      <c r="I909" s="34"/>
      <c r="J909" s="34"/>
    </row>
    <row r="910" spans="1:10">
      <c r="A910" s="49"/>
      <c r="B910" s="50"/>
      <c r="C910" s="18"/>
      <c r="D910" s="18"/>
      <c r="E910" s="18"/>
      <c r="F910" s="58"/>
      <c r="G910" s="18"/>
      <c r="H910" s="34"/>
      <c r="I910" s="34"/>
      <c r="J910" s="34"/>
    </row>
    <row r="911" spans="1:10">
      <c r="A911" s="49"/>
      <c r="B911" s="50"/>
      <c r="C911" s="18"/>
      <c r="D911" s="18"/>
      <c r="E911" s="18"/>
      <c r="F911" s="58"/>
      <c r="G911" s="18"/>
      <c r="H911" s="34"/>
      <c r="I911" s="34"/>
      <c r="J911" s="34"/>
    </row>
    <row r="912" spans="1:10">
      <c r="A912" s="49"/>
      <c r="B912" s="50"/>
      <c r="C912" s="18"/>
      <c r="D912" s="18"/>
      <c r="E912" s="18"/>
      <c r="F912" s="58"/>
      <c r="G912" s="18"/>
      <c r="H912" s="34"/>
      <c r="I912" s="34"/>
      <c r="J912" s="34"/>
    </row>
    <row r="913" spans="1:10">
      <c r="A913" s="49"/>
      <c r="B913" s="50"/>
      <c r="C913" s="18"/>
      <c r="D913" s="18"/>
      <c r="E913" s="18"/>
      <c r="F913" s="58"/>
      <c r="G913" s="18"/>
      <c r="H913" s="34"/>
      <c r="I913" s="34"/>
      <c r="J913" s="34"/>
    </row>
    <row r="914" spans="1:10">
      <c r="A914" s="49"/>
      <c r="B914" s="50"/>
      <c r="C914" s="18"/>
      <c r="D914" s="18"/>
      <c r="E914" s="18"/>
      <c r="F914" s="58"/>
      <c r="G914" s="18"/>
      <c r="H914" s="34"/>
      <c r="I914" s="34"/>
      <c r="J914" s="34"/>
    </row>
    <row r="915" spans="1:10">
      <c r="A915" s="49"/>
      <c r="B915" s="50"/>
      <c r="C915" s="18"/>
      <c r="D915" s="18"/>
      <c r="E915" s="18"/>
      <c r="F915" s="58"/>
      <c r="G915" s="18"/>
      <c r="H915" s="34"/>
      <c r="I915" s="34"/>
      <c r="J915" s="34"/>
    </row>
    <row r="916" spans="1:10">
      <c r="A916" s="49"/>
      <c r="B916" s="50"/>
      <c r="C916" s="18"/>
      <c r="D916" s="18"/>
      <c r="E916" s="18"/>
      <c r="F916" s="58"/>
      <c r="G916" s="18"/>
      <c r="H916" s="34"/>
      <c r="I916" s="34"/>
      <c r="J916" s="34"/>
    </row>
    <row r="917" spans="1:10">
      <c r="A917" s="49"/>
      <c r="B917" s="50"/>
      <c r="C917" s="18"/>
      <c r="D917" s="18"/>
      <c r="E917" s="18"/>
      <c r="F917" s="58"/>
      <c r="G917" s="18"/>
      <c r="H917" s="34"/>
      <c r="I917" s="34"/>
      <c r="J917" s="34"/>
    </row>
    <row r="918" spans="1:10">
      <c r="A918" s="49"/>
      <c r="B918" s="50"/>
      <c r="C918" s="18"/>
      <c r="D918" s="18"/>
      <c r="E918" s="18"/>
      <c r="F918" s="58"/>
      <c r="G918" s="18"/>
      <c r="H918" s="34"/>
      <c r="I918" s="34"/>
      <c r="J918" s="34"/>
    </row>
    <row r="919" spans="1:10">
      <c r="A919" s="49"/>
      <c r="B919" s="50"/>
      <c r="C919" s="18"/>
      <c r="D919" s="18"/>
      <c r="E919" s="18"/>
      <c r="F919" s="58"/>
      <c r="G919" s="18"/>
      <c r="H919" s="34"/>
      <c r="I919" s="34"/>
      <c r="J919" s="34"/>
    </row>
    <row r="920" spans="1:10">
      <c r="A920" s="49"/>
      <c r="B920" s="50"/>
      <c r="C920" s="18"/>
      <c r="D920" s="18"/>
      <c r="E920" s="18"/>
      <c r="F920" s="58"/>
      <c r="G920" s="18"/>
      <c r="H920" s="34"/>
      <c r="I920" s="34"/>
      <c r="J920" s="34"/>
    </row>
    <row r="921" spans="1:10">
      <c r="A921" s="49"/>
      <c r="B921" s="50"/>
      <c r="C921" s="18"/>
      <c r="D921" s="18"/>
      <c r="E921" s="18"/>
      <c r="F921" s="58"/>
      <c r="G921" s="18"/>
      <c r="H921" s="34"/>
      <c r="I921" s="34"/>
      <c r="J921" s="34"/>
    </row>
    <row r="922" spans="1:10">
      <c r="A922" s="49"/>
      <c r="B922" s="50"/>
      <c r="C922" s="18"/>
      <c r="D922" s="18"/>
      <c r="E922" s="18"/>
      <c r="F922" s="58"/>
      <c r="G922" s="18"/>
      <c r="H922" s="34"/>
      <c r="I922" s="34"/>
      <c r="J922" s="34"/>
    </row>
    <row r="923" spans="1:10">
      <c r="A923" s="49"/>
      <c r="B923" s="50"/>
      <c r="C923" s="18"/>
      <c r="D923" s="18"/>
      <c r="E923" s="18"/>
      <c r="F923" s="58"/>
      <c r="G923" s="18"/>
      <c r="H923" s="34"/>
      <c r="I923" s="34"/>
      <c r="J923" s="34"/>
    </row>
    <row r="924" spans="1:10">
      <c r="A924" s="49"/>
      <c r="B924" s="50"/>
      <c r="C924" s="18"/>
      <c r="D924" s="18"/>
      <c r="E924" s="18"/>
      <c r="F924" s="58"/>
      <c r="G924" s="18"/>
      <c r="H924" s="34"/>
      <c r="I924" s="34"/>
      <c r="J924" s="34"/>
    </row>
    <row r="925" spans="1:10">
      <c r="A925" s="49"/>
      <c r="B925" s="50"/>
      <c r="C925" s="18"/>
      <c r="D925" s="18"/>
      <c r="E925" s="18"/>
      <c r="F925" s="58"/>
      <c r="G925" s="18"/>
      <c r="H925" s="34"/>
      <c r="I925" s="34"/>
      <c r="J925" s="34"/>
    </row>
    <row r="926" spans="1:10">
      <c r="A926" s="49"/>
      <c r="B926" s="50"/>
      <c r="C926" s="18"/>
      <c r="D926" s="18"/>
      <c r="E926" s="18"/>
      <c r="F926" s="58"/>
      <c r="G926" s="18"/>
      <c r="H926" s="34"/>
      <c r="I926" s="34"/>
      <c r="J926" s="34"/>
    </row>
    <row r="927" spans="1:10">
      <c r="A927" s="49"/>
      <c r="B927" s="50"/>
      <c r="C927" s="18"/>
      <c r="D927" s="18"/>
      <c r="E927" s="18"/>
      <c r="F927" s="58"/>
      <c r="G927" s="18"/>
      <c r="H927" s="34"/>
      <c r="I927" s="34"/>
      <c r="J927" s="34"/>
    </row>
    <row r="928" spans="1:10">
      <c r="A928" s="49"/>
      <c r="B928" s="50"/>
      <c r="C928" s="18"/>
      <c r="D928" s="18"/>
      <c r="E928" s="18"/>
      <c r="F928" s="58"/>
      <c r="G928" s="18"/>
      <c r="H928" s="34"/>
      <c r="I928" s="34"/>
      <c r="J928" s="34"/>
    </row>
    <row r="929" spans="1:10">
      <c r="A929" s="49"/>
      <c r="B929" s="50"/>
      <c r="C929" s="18"/>
      <c r="D929" s="18"/>
      <c r="E929" s="18"/>
      <c r="F929" s="58"/>
      <c r="G929" s="18"/>
      <c r="H929" s="34"/>
      <c r="I929" s="34"/>
      <c r="J929" s="34"/>
    </row>
    <row r="930" spans="1:10">
      <c r="A930" s="49"/>
      <c r="B930" s="50"/>
      <c r="C930" s="18"/>
      <c r="D930" s="18"/>
      <c r="E930" s="18"/>
      <c r="F930" s="58"/>
      <c r="G930" s="18"/>
      <c r="H930" s="34"/>
      <c r="I930" s="34"/>
      <c r="J930" s="34"/>
    </row>
    <row r="931" spans="1:10">
      <c r="A931" s="49"/>
      <c r="B931" s="50"/>
      <c r="C931" s="18"/>
      <c r="D931" s="18"/>
      <c r="E931" s="18"/>
      <c r="F931" s="58"/>
      <c r="G931" s="18"/>
      <c r="H931" s="34"/>
      <c r="I931" s="34"/>
      <c r="J931" s="34"/>
    </row>
    <row r="932" spans="1:10">
      <c r="A932" s="49"/>
      <c r="B932" s="50"/>
      <c r="C932" s="18"/>
      <c r="D932" s="18"/>
      <c r="E932" s="18"/>
      <c r="F932" s="58"/>
      <c r="G932" s="18"/>
      <c r="H932" s="34"/>
      <c r="I932" s="34"/>
      <c r="J932" s="34"/>
    </row>
    <row r="933" spans="1:10">
      <c r="A933" s="49"/>
      <c r="B933" s="50"/>
      <c r="C933" s="18"/>
      <c r="D933" s="18"/>
      <c r="E933" s="18"/>
      <c r="F933" s="58"/>
      <c r="G933" s="18"/>
      <c r="H933" s="34"/>
      <c r="I933" s="34"/>
      <c r="J933" s="34"/>
    </row>
    <row r="934" spans="1:10">
      <c r="A934" s="49"/>
      <c r="B934" s="50"/>
      <c r="C934" s="18"/>
      <c r="D934" s="18"/>
      <c r="E934" s="18"/>
      <c r="F934" s="58"/>
      <c r="G934" s="18"/>
      <c r="H934" s="34"/>
      <c r="I934" s="34"/>
      <c r="J934" s="34"/>
    </row>
    <row r="935" spans="1:10">
      <c r="A935" s="49"/>
      <c r="B935" s="50"/>
      <c r="C935" s="18"/>
      <c r="D935" s="18"/>
      <c r="E935" s="18"/>
      <c r="F935" s="58"/>
      <c r="G935" s="18"/>
      <c r="H935" s="34"/>
      <c r="I935" s="34"/>
      <c r="J935" s="34"/>
    </row>
    <row r="936" spans="1:10">
      <c r="A936" s="49"/>
      <c r="B936" s="50"/>
      <c r="C936" s="18"/>
      <c r="D936" s="18"/>
      <c r="E936" s="18"/>
      <c r="F936" s="58"/>
      <c r="G936" s="18"/>
      <c r="H936" s="34"/>
      <c r="I936" s="34"/>
      <c r="J936" s="34"/>
    </row>
    <row r="937" spans="1:10">
      <c r="A937" s="49"/>
      <c r="B937" s="50"/>
      <c r="C937" s="18"/>
      <c r="D937" s="18"/>
      <c r="E937" s="18"/>
      <c r="F937" s="58"/>
      <c r="G937" s="18"/>
      <c r="H937" s="34"/>
      <c r="I937" s="34"/>
      <c r="J937" s="34"/>
    </row>
    <row r="938" spans="1:10">
      <c r="A938" s="49"/>
      <c r="B938" s="50"/>
      <c r="C938" s="18"/>
      <c r="D938" s="18"/>
      <c r="E938" s="18"/>
      <c r="F938" s="58"/>
      <c r="G938" s="18"/>
      <c r="H938" s="34"/>
      <c r="I938" s="34"/>
      <c r="J938" s="34"/>
    </row>
    <row r="939" spans="1:10">
      <c r="A939" s="49"/>
      <c r="B939" s="50"/>
      <c r="C939" s="18"/>
      <c r="D939" s="18"/>
      <c r="E939" s="18"/>
      <c r="F939" s="58"/>
      <c r="G939" s="18"/>
      <c r="H939" s="34"/>
      <c r="I939" s="34"/>
      <c r="J939" s="34"/>
    </row>
    <row r="940" spans="1:10">
      <c r="A940" s="49"/>
      <c r="B940" s="50"/>
      <c r="C940" s="18"/>
      <c r="D940" s="18"/>
      <c r="E940" s="18"/>
      <c r="F940" s="58"/>
      <c r="G940" s="18"/>
      <c r="H940" s="34"/>
      <c r="I940" s="34"/>
      <c r="J940" s="34"/>
    </row>
    <row r="941" spans="1:10">
      <c r="A941" s="49"/>
      <c r="B941" s="50"/>
      <c r="C941" s="18"/>
      <c r="D941" s="18"/>
      <c r="E941" s="18"/>
      <c r="F941" s="58"/>
      <c r="G941" s="18"/>
      <c r="H941" s="34"/>
      <c r="I941" s="34"/>
      <c r="J941" s="34"/>
    </row>
    <row r="942" spans="1:10">
      <c r="A942" s="49"/>
      <c r="B942" s="50"/>
      <c r="C942" s="18"/>
      <c r="D942" s="18"/>
      <c r="E942" s="18"/>
      <c r="F942" s="58"/>
      <c r="G942" s="18"/>
      <c r="H942" s="34"/>
      <c r="I942" s="34"/>
      <c r="J942" s="34"/>
    </row>
    <row r="943" spans="1:10">
      <c r="A943" s="49"/>
      <c r="B943" s="50"/>
      <c r="C943" s="18"/>
      <c r="D943" s="18"/>
      <c r="E943" s="18"/>
      <c r="F943" s="58"/>
      <c r="G943" s="18"/>
      <c r="H943" s="34"/>
      <c r="I943" s="34"/>
      <c r="J943" s="34"/>
    </row>
    <row r="944" spans="1:10">
      <c r="A944" s="49"/>
      <c r="B944" s="50"/>
      <c r="C944" s="18"/>
      <c r="D944" s="18"/>
      <c r="E944" s="18"/>
      <c r="F944" s="58"/>
      <c r="G944" s="18"/>
      <c r="H944" s="34"/>
      <c r="I944" s="34"/>
      <c r="J944" s="34"/>
    </row>
    <row r="945" spans="1:10">
      <c r="A945" s="49"/>
      <c r="B945" s="50"/>
      <c r="C945" s="18"/>
      <c r="D945" s="18"/>
      <c r="E945" s="18"/>
      <c r="F945" s="58"/>
      <c r="G945" s="18"/>
      <c r="H945" s="34"/>
      <c r="I945" s="34"/>
      <c r="J945" s="34"/>
    </row>
    <row r="946" spans="1:10">
      <c r="A946" s="49"/>
      <c r="B946" s="50"/>
      <c r="C946" s="18"/>
      <c r="D946" s="18"/>
      <c r="E946" s="18"/>
      <c r="F946" s="58"/>
      <c r="G946" s="18"/>
      <c r="H946" s="34"/>
      <c r="I946" s="34"/>
      <c r="J946" s="34"/>
    </row>
    <row r="947" spans="1:10">
      <c r="A947" s="49"/>
      <c r="B947" s="50"/>
      <c r="C947" s="18"/>
      <c r="D947" s="18"/>
      <c r="E947" s="18"/>
      <c r="F947" s="58"/>
      <c r="G947" s="18"/>
      <c r="H947" s="34"/>
      <c r="I947" s="34"/>
      <c r="J947" s="34"/>
    </row>
    <row r="948" spans="1:10">
      <c r="A948" s="49"/>
      <c r="B948" s="50"/>
      <c r="C948" s="18"/>
      <c r="D948" s="18"/>
      <c r="E948" s="18"/>
      <c r="F948" s="58"/>
      <c r="G948" s="18"/>
      <c r="H948" s="34"/>
      <c r="I948" s="34"/>
      <c r="J948" s="34"/>
    </row>
    <row r="949" spans="1:10">
      <c r="A949" s="49"/>
      <c r="B949" s="50"/>
      <c r="C949" s="18"/>
      <c r="D949" s="18"/>
      <c r="E949" s="18"/>
      <c r="F949" s="58"/>
      <c r="G949" s="18"/>
      <c r="H949" s="34"/>
      <c r="I949" s="34"/>
      <c r="J949" s="34"/>
    </row>
    <row r="950" spans="1:10">
      <c r="A950" s="49"/>
      <c r="B950" s="50"/>
      <c r="C950" s="18"/>
      <c r="D950" s="18"/>
      <c r="E950" s="18"/>
      <c r="F950" s="58"/>
      <c r="G950" s="18"/>
      <c r="H950" s="34"/>
      <c r="I950" s="34"/>
      <c r="J950" s="34"/>
    </row>
    <row r="951" spans="1:10">
      <c r="A951" s="49"/>
      <c r="B951" s="50"/>
      <c r="C951" s="18"/>
      <c r="D951" s="18"/>
      <c r="E951" s="18"/>
      <c r="F951" s="58"/>
      <c r="G951" s="18"/>
      <c r="H951" s="34"/>
      <c r="I951" s="34"/>
      <c r="J951" s="34"/>
    </row>
    <row r="952" spans="1:10">
      <c r="A952" s="49"/>
      <c r="B952" s="50"/>
      <c r="C952" s="18"/>
      <c r="D952" s="18"/>
      <c r="E952" s="18"/>
      <c r="F952" s="58"/>
      <c r="G952" s="18"/>
      <c r="H952" s="34"/>
      <c r="I952" s="34"/>
      <c r="J952" s="34"/>
    </row>
    <row r="953" spans="1:10">
      <c r="A953" s="49"/>
      <c r="B953" s="50"/>
      <c r="C953" s="18"/>
      <c r="D953" s="18"/>
      <c r="E953" s="18"/>
      <c r="F953" s="58"/>
      <c r="G953" s="18"/>
      <c r="H953" s="34"/>
      <c r="I953" s="34"/>
      <c r="J953" s="34"/>
    </row>
    <row r="954" spans="1:10">
      <c r="A954" s="49"/>
      <c r="B954" s="50"/>
      <c r="C954" s="18"/>
      <c r="D954" s="18"/>
      <c r="E954" s="18"/>
      <c r="F954" s="58"/>
      <c r="G954" s="18"/>
      <c r="H954" s="34"/>
      <c r="I954" s="34"/>
      <c r="J954" s="34"/>
    </row>
    <row r="955" spans="1:10">
      <c r="A955" s="49"/>
      <c r="B955" s="50"/>
      <c r="C955" s="18"/>
      <c r="D955" s="18"/>
      <c r="E955" s="18"/>
      <c r="F955" s="58"/>
      <c r="G955" s="18"/>
      <c r="H955" s="34"/>
      <c r="I955" s="34"/>
      <c r="J955" s="34"/>
    </row>
    <row r="956" spans="1:10">
      <c r="A956" s="49"/>
      <c r="B956" s="50"/>
      <c r="C956" s="18"/>
      <c r="D956" s="18"/>
      <c r="E956" s="18"/>
      <c r="F956" s="58"/>
      <c r="G956" s="18"/>
      <c r="H956" s="34"/>
      <c r="I956" s="34"/>
      <c r="J956" s="34"/>
    </row>
    <row r="957" spans="1:10">
      <c r="A957" s="49"/>
      <c r="B957" s="50"/>
      <c r="C957" s="18"/>
      <c r="D957" s="18"/>
      <c r="E957" s="18"/>
      <c r="F957" s="58"/>
      <c r="G957" s="18"/>
      <c r="H957" s="34"/>
      <c r="I957" s="34"/>
      <c r="J957" s="34"/>
    </row>
    <row r="958" spans="1:10">
      <c r="A958" s="49"/>
      <c r="B958" s="50"/>
      <c r="C958" s="18"/>
      <c r="D958" s="18"/>
      <c r="E958" s="18"/>
      <c r="F958" s="58"/>
      <c r="G958" s="18"/>
      <c r="H958" s="34"/>
      <c r="I958" s="34"/>
      <c r="J958" s="34"/>
    </row>
    <row r="959" spans="1:10">
      <c r="A959" s="49"/>
      <c r="B959" s="50"/>
      <c r="C959" s="18"/>
      <c r="D959" s="18"/>
      <c r="E959" s="18"/>
      <c r="F959" s="58"/>
      <c r="G959" s="18"/>
      <c r="H959" s="34"/>
      <c r="I959" s="34"/>
      <c r="J959" s="34"/>
    </row>
    <row r="960" spans="1:10">
      <c r="A960" s="49"/>
      <c r="B960" s="50"/>
      <c r="C960" s="18"/>
      <c r="D960" s="18"/>
      <c r="E960" s="18"/>
      <c r="F960" s="58"/>
      <c r="G960" s="18"/>
      <c r="H960" s="34"/>
      <c r="I960" s="34"/>
      <c r="J960" s="34"/>
    </row>
    <row r="961" spans="1:10">
      <c r="A961" s="49"/>
      <c r="B961" s="50"/>
      <c r="C961" s="18"/>
      <c r="D961" s="18"/>
      <c r="E961" s="18"/>
      <c r="F961" s="58"/>
      <c r="G961" s="18"/>
      <c r="H961" s="34"/>
      <c r="I961" s="34"/>
      <c r="J961" s="34"/>
    </row>
    <row r="962" spans="1:10">
      <c r="A962" s="49"/>
      <c r="B962" s="50"/>
      <c r="C962" s="18"/>
      <c r="D962" s="18"/>
      <c r="E962" s="18"/>
      <c r="F962" s="58"/>
      <c r="G962" s="18"/>
      <c r="H962" s="34"/>
      <c r="I962" s="34"/>
      <c r="J962" s="34"/>
    </row>
    <row r="963" spans="1:10">
      <c r="A963" s="49"/>
      <c r="B963" s="50"/>
      <c r="C963" s="18"/>
      <c r="D963" s="18"/>
      <c r="E963" s="18"/>
      <c r="F963" s="58"/>
      <c r="G963" s="18"/>
      <c r="H963" s="34"/>
      <c r="I963" s="34"/>
      <c r="J963" s="34"/>
    </row>
    <row r="964" spans="1:10">
      <c r="A964" s="49"/>
      <c r="B964" s="50"/>
      <c r="C964" s="18"/>
      <c r="D964" s="18"/>
      <c r="E964" s="18"/>
      <c r="F964" s="58"/>
      <c r="G964" s="18"/>
      <c r="H964" s="34"/>
      <c r="I964" s="34"/>
      <c r="J964" s="34"/>
    </row>
    <row r="965" spans="1:10">
      <c r="A965" s="49"/>
      <c r="B965" s="50"/>
      <c r="C965" s="18"/>
      <c r="D965" s="18"/>
      <c r="E965" s="18"/>
      <c r="F965" s="58"/>
      <c r="G965" s="18"/>
      <c r="H965" s="34"/>
      <c r="I965" s="34"/>
      <c r="J965" s="34"/>
    </row>
    <row r="966" spans="1:10">
      <c r="A966" s="49"/>
      <c r="B966" s="50"/>
      <c r="C966" s="18"/>
      <c r="D966" s="18"/>
      <c r="E966" s="18"/>
      <c r="F966" s="58"/>
      <c r="G966" s="18"/>
      <c r="H966" s="34"/>
      <c r="I966" s="34"/>
      <c r="J966" s="34"/>
    </row>
    <row r="967" spans="1:10">
      <c r="A967" s="49"/>
      <c r="B967" s="50"/>
      <c r="C967" s="18"/>
      <c r="D967" s="18"/>
      <c r="E967" s="18"/>
      <c r="F967" s="58"/>
      <c r="G967" s="18"/>
      <c r="H967" s="34"/>
      <c r="I967" s="34"/>
      <c r="J967" s="34"/>
    </row>
    <row r="968" spans="1:10">
      <c r="A968" s="49"/>
      <c r="B968" s="50"/>
      <c r="C968" s="18"/>
      <c r="D968" s="18"/>
      <c r="E968" s="18"/>
      <c r="F968" s="58"/>
      <c r="G968" s="18"/>
      <c r="H968" s="34"/>
      <c r="I968" s="34"/>
      <c r="J968" s="34"/>
    </row>
    <row r="969" spans="1:10">
      <c r="A969" s="49"/>
      <c r="B969" s="50"/>
      <c r="C969" s="18"/>
      <c r="D969" s="18"/>
      <c r="E969" s="18"/>
      <c r="F969" s="58"/>
      <c r="G969" s="18"/>
      <c r="H969" s="34"/>
      <c r="I969" s="34"/>
      <c r="J969" s="34"/>
    </row>
    <row r="970" spans="1:10">
      <c r="A970" s="49"/>
      <c r="B970" s="50"/>
      <c r="C970" s="18"/>
      <c r="D970" s="18"/>
      <c r="E970" s="18"/>
      <c r="F970" s="58"/>
      <c r="G970" s="18"/>
      <c r="H970" s="34"/>
      <c r="I970" s="34"/>
      <c r="J970" s="34"/>
    </row>
    <row r="971" spans="1:10">
      <c r="A971" s="49"/>
      <c r="B971" s="50"/>
      <c r="C971" s="18"/>
      <c r="D971" s="18"/>
      <c r="E971" s="18"/>
      <c r="F971" s="58"/>
      <c r="G971" s="18"/>
      <c r="H971" s="34"/>
      <c r="I971" s="34"/>
      <c r="J971" s="34"/>
    </row>
    <row r="972" spans="1:10">
      <c r="A972" s="49"/>
      <c r="B972" s="50"/>
      <c r="C972" s="18"/>
      <c r="D972" s="18"/>
      <c r="E972" s="18"/>
      <c r="F972" s="58"/>
      <c r="G972" s="18"/>
      <c r="H972" s="34"/>
      <c r="I972" s="34"/>
      <c r="J972" s="34"/>
    </row>
    <row r="973" spans="1:10">
      <c r="A973" s="49"/>
      <c r="B973" s="50"/>
      <c r="C973" s="18"/>
      <c r="D973" s="18"/>
      <c r="E973" s="18"/>
      <c r="F973" s="58"/>
      <c r="G973" s="18"/>
      <c r="H973" s="34"/>
      <c r="I973" s="34"/>
      <c r="J973" s="34"/>
    </row>
    <row r="974" spans="1:10">
      <c r="A974" s="49"/>
      <c r="B974" s="50"/>
      <c r="C974" s="18"/>
      <c r="D974" s="18"/>
      <c r="E974" s="18"/>
      <c r="F974" s="58"/>
      <c r="G974" s="18"/>
      <c r="H974" s="34"/>
      <c r="I974" s="34"/>
      <c r="J974" s="34"/>
    </row>
    <row r="975" spans="1:10">
      <c r="A975" s="49"/>
      <c r="B975" s="50"/>
      <c r="C975" s="18"/>
      <c r="D975" s="18"/>
      <c r="E975" s="18"/>
      <c r="F975" s="58"/>
      <c r="G975" s="18"/>
      <c r="H975" s="34"/>
      <c r="I975" s="34"/>
      <c r="J975" s="34"/>
    </row>
    <row r="976" spans="1:10">
      <c r="A976" s="49"/>
      <c r="B976" s="50"/>
      <c r="C976" s="18"/>
      <c r="D976" s="18"/>
      <c r="E976" s="18"/>
      <c r="F976" s="58"/>
      <c r="G976" s="18"/>
      <c r="H976" s="34"/>
      <c r="I976" s="34"/>
      <c r="J976" s="34"/>
    </row>
    <row r="977" spans="1:10">
      <c r="A977" s="49"/>
      <c r="B977" s="50"/>
      <c r="C977" s="18"/>
      <c r="D977" s="18"/>
      <c r="E977" s="18"/>
      <c r="F977" s="58"/>
      <c r="G977" s="18"/>
      <c r="H977" s="34"/>
      <c r="I977" s="34"/>
      <c r="J977" s="34"/>
    </row>
    <row r="978" spans="1:10">
      <c r="A978" s="49"/>
      <c r="B978" s="50"/>
      <c r="C978" s="18"/>
      <c r="D978" s="18"/>
      <c r="E978" s="18"/>
      <c r="F978" s="58"/>
      <c r="G978" s="18"/>
      <c r="H978" s="34"/>
      <c r="I978" s="34"/>
      <c r="J978" s="34"/>
    </row>
    <row r="979" spans="1:10">
      <c r="A979" s="49"/>
      <c r="B979" s="50"/>
      <c r="C979" s="18"/>
      <c r="D979" s="18"/>
      <c r="E979" s="18"/>
      <c r="F979" s="58"/>
      <c r="G979" s="18"/>
      <c r="H979" s="34"/>
      <c r="I979" s="34"/>
      <c r="J979" s="34"/>
    </row>
    <row r="980" spans="1:10">
      <c r="A980" s="49"/>
      <c r="B980" s="50"/>
      <c r="C980" s="18"/>
      <c r="D980" s="18"/>
      <c r="E980" s="18"/>
      <c r="F980" s="58"/>
      <c r="G980" s="18"/>
      <c r="H980" s="34"/>
      <c r="I980" s="34"/>
      <c r="J980" s="34"/>
    </row>
    <row r="981" spans="1:10">
      <c r="A981" s="49"/>
      <c r="B981" s="50"/>
      <c r="C981" s="18"/>
      <c r="D981" s="18"/>
      <c r="E981" s="18"/>
      <c r="F981" s="58"/>
      <c r="G981" s="18"/>
      <c r="H981" s="34"/>
      <c r="I981" s="34"/>
      <c r="J981" s="34"/>
    </row>
    <row r="982" spans="1:10">
      <c r="A982" s="49"/>
      <c r="B982" s="50"/>
      <c r="C982" s="18"/>
      <c r="D982" s="18"/>
      <c r="E982" s="18"/>
      <c r="F982" s="58"/>
      <c r="G982" s="18"/>
      <c r="H982" s="34"/>
      <c r="I982" s="34"/>
      <c r="J982" s="34"/>
    </row>
    <row r="983" spans="1:10">
      <c r="A983" s="49"/>
      <c r="B983" s="50"/>
      <c r="C983" s="18"/>
      <c r="D983" s="18"/>
      <c r="E983" s="18"/>
      <c r="F983" s="58"/>
      <c r="G983" s="18"/>
      <c r="H983" s="34"/>
      <c r="I983" s="34"/>
      <c r="J983" s="34"/>
    </row>
    <row r="984" spans="1:10">
      <c r="A984" s="49"/>
      <c r="B984" s="50"/>
      <c r="C984" s="18"/>
      <c r="D984" s="18"/>
      <c r="E984" s="18"/>
      <c r="F984" s="58"/>
      <c r="G984" s="18"/>
      <c r="H984" s="34"/>
      <c r="I984" s="34"/>
      <c r="J984" s="34"/>
    </row>
    <row r="985" spans="1:10">
      <c r="A985" s="49"/>
      <c r="B985" s="50"/>
      <c r="C985" s="18"/>
      <c r="D985" s="18"/>
      <c r="E985" s="18"/>
      <c r="F985" s="58"/>
      <c r="G985" s="18"/>
      <c r="H985" s="34"/>
      <c r="I985" s="34"/>
      <c r="J985" s="34"/>
    </row>
    <row r="986" spans="1:10">
      <c r="A986" s="49"/>
      <c r="B986" s="50"/>
      <c r="C986" s="18"/>
      <c r="D986" s="18"/>
      <c r="E986" s="18"/>
      <c r="F986" s="58"/>
      <c r="G986" s="18"/>
      <c r="H986" s="34"/>
      <c r="I986" s="34"/>
      <c r="J986" s="34"/>
    </row>
    <row r="987" spans="1:10">
      <c r="A987" s="49"/>
      <c r="B987" s="50"/>
      <c r="C987" s="18"/>
      <c r="D987" s="18"/>
      <c r="E987" s="18"/>
      <c r="F987" s="58"/>
      <c r="G987" s="18"/>
      <c r="H987" s="34"/>
      <c r="I987" s="34"/>
      <c r="J987" s="34"/>
    </row>
    <row r="988" spans="1:10">
      <c r="A988" s="49"/>
      <c r="B988" s="50"/>
      <c r="C988" s="18"/>
      <c r="D988" s="18"/>
      <c r="E988" s="18"/>
      <c r="F988" s="58"/>
      <c r="G988" s="18"/>
      <c r="H988" s="34"/>
      <c r="I988" s="34"/>
      <c r="J988" s="34"/>
    </row>
    <row r="989" spans="1:10">
      <c r="A989" s="49"/>
      <c r="B989" s="50"/>
      <c r="C989" s="18"/>
      <c r="D989" s="18"/>
      <c r="E989" s="18"/>
      <c r="F989" s="58"/>
      <c r="G989" s="18"/>
      <c r="H989" s="34"/>
      <c r="I989" s="34"/>
      <c r="J989" s="34"/>
    </row>
    <row r="990" spans="1:10">
      <c r="A990" s="49"/>
      <c r="B990" s="50"/>
      <c r="C990" s="18"/>
      <c r="D990" s="18"/>
      <c r="E990" s="18"/>
      <c r="F990" s="58"/>
      <c r="G990" s="18"/>
      <c r="H990" s="34"/>
      <c r="I990" s="34"/>
      <c r="J990" s="34"/>
    </row>
    <row r="991" spans="1:10">
      <c r="A991" s="49"/>
      <c r="B991" s="50"/>
      <c r="C991" s="18"/>
      <c r="D991" s="18"/>
      <c r="E991" s="18"/>
      <c r="F991" s="58"/>
      <c r="G991" s="18"/>
      <c r="H991" s="34"/>
      <c r="I991" s="34"/>
      <c r="J991" s="34"/>
    </row>
    <row r="992" spans="1:10">
      <c r="A992" s="49"/>
      <c r="B992" s="50"/>
      <c r="C992" s="18"/>
      <c r="D992" s="18"/>
      <c r="E992" s="18"/>
      <c r="F992" s="58"/>
      <c r="G992" s="18"/>
      <c r="H992" s="34"/>
      <c r="I992" s="34"/>
      <c r="J992" s="34"/>
    </row>
  </sheetData>
  <mergeCells count="44">
    <mergeCell ref="A52:A53"/>
    <mergeCell ref="A25:A32"/>
    <mergeCell ref="A34:A35"/>
    <mergeCell ref="A17:A21"/>
    <mergeCell ref="A37:A41"/>
    <mergeCell ref="A43:A50"/>
    <mergeCell ref="A55:A59"/>
    <mergeCell ref="A61:A62"/>
    <mergeCell ref="D68:E68"/>
    <mergeCell ref="D69:F69"/>
    <mergeCell ref="D71:E71"/>
    <mergeCell ref="B48:L48"/>
    <mergeCell ref="B57:L57"/>
    <mergeCell ref="L31:L32"/>
    <mergeCell ref="B33:L33"/>
    <mergeCell ref="L34:L35"/>
    <mergeCell ref="L37:L38"/>
    <mergeCell ref="B39:L39"/>
    <mergeCell ref="L40:L41"/>
    <mergeCell ref="B45:L45"/>
    <mergeCell ref="L49:L50"/>
    <mergeCell ref="L52:L53"/>
    <mergeCell ref="L55:L56"/>
    <mergeCell ref="L58:L59"/>
    <mergeCell ref="L61:L62"/>
    <mergeCell ref="L25:L26"/>
    <mergeCell ref="B27:L27"/>
    <mergeCell ref="L28:L29"/>
    <mergeCell ref="L43:L44"/>
    <mergeCell ref="L46:L47"/>
    <mergeCell ref="L14:L15"/>
    <mergeCell ref="L17:L18"/>
    <mergeCell ref="B19:L19"/>
    <mergeCell ref="L20:L21"/>
    <mergeCell ref="B23:L23"/>
    <mergeCell ref="B10:K10"/>
    <mergeCell ref="B13:L13"/>
    <mergeCell ref="A2:A6"/>
    <mergeCell ref="L2:L3"/>
    <mergeCell ref="B4:L4"/>
    <mergeCell ref="L5:L6"/>
    <mergeCell ref="B7:L7"/>
    <mergeCell ref="L8:L12"/>
    <mergeCell ref="A8:A15"/>
  </mergeCells>
  <conditionalFormatting sqref="E1:E992">
    <cfRule type="containsText" dxfId="0" priority="1" operator="containsText" text="Reserve online">
      <formula>NOT(ISERROR(SEARCH(("Reserve online"),(E1))))</formula>
    </cfRule>
  </conditionalFormatting>
  <hyperlinks>
    <hyperlink ref="L14" r:id="rId1" xr:uid="{00000000-0004-0000-0200-000000000000}"/>
    <hyperlink ref="L28" r:id="rId2" xr:uid="{00000000-0004-0000-0200-000001000000}"/>
    <hyperlink ref="L31" r:id="rId3" xr:uid="{00000000-0004-0000-0200-000002000000}"/>
    <hyperlink ref="L34" r:id="rId4" xr:uid="{00000000-0004-0000-0200-000003000000}"/>
    <hyperlink ref="L37" r:id="rId5" xr:uid="{00000000-0004-0000-0200-000004000000}"/>
    <hyperlink ref="L40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4</v>
      </c>
      <c r="B2" s="4" t="s">
        <v>14</v>
      </c>
      <c r="C2" s="4" t="s">
        <v>15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42</v>
      </c>
      <c r="B5" s="12" t="s">
        <v>43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45</v>
      </c>
      <c r="B6" s="12" t="s">
        <v>47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49</v>
      </c>
      <c r="B7" s="12" t="s">
        <v>50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/>
      <c r="B8" s="12"/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17" t="s">
        <v>54</v>
      </c>
      <c r="B9" s="17" t="s">
        <v>55</v>
      </c>
      <c r="C9" s="17" t="s">
        <v>57</v>
      </c>
      <c r="D9" s="12"/>
      <c r="E9" s="3"/>
      <c r="F9" s="3"/>
      <c r="G9" s="3"/>
      <c r="H9" s="3"/>
      <c r="I9" s="3"/>
      <c r="J9" s="3"/>
    </row>
    <row r="10" spans="1:10" ht="15.75" customHeight="1">
      <c r="A10" s="12" t="s">
        <v>61</v>
      </c>
      <c r="B10" s="12" t="s">
        <v>64</v>
      </c>
      <c r="C10" s="12" t="s">
        <v>66</v>
      </c>
      <c r="D10" s="12"/>
      <c r="E10" s="3"/>
      <c r="F10" s="3"/>
      <c r="G10" s="3"/>
      <c r="H10" s="3"/>
      <c r="I10" s="3"/>
      <c r="J10" s="3"/>
    </row>
    <row r="11" spans="1:10" ht="15.75" customHeight="1">
      <c r="A11" s="12" t="s">
        <v>71</v>
      </c>
      <c r="B11" s="12" t="s">
        <v>72</v>
      </c>
      <c r="C11" s="12" t="s">
        <v>73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78</v>
      </c>
      <c r="B12" s="12" t="s">
        <v>80</v>
      </c>
      <c r="C12" s="12" t="s">
        <v>82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88</v>
      </c>
      <c r="B13" s="12" t="s">
        <v>90</v>
      </c>
      <c r="C13" s="12" t="s">
        <v>93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97</v>
      </c>
      <c r="B14" s="12" t="s">
        <v>99</v>
      </c>
      <c r="C14" s="12" t="s">
        <v>100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106</v>
      </c>
      <c r="B15" s="12" t="s">
        <v>107</v>
      </c>
      <c r="C15" s="12" t="s">
        <v>110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117</v>
      </c>
      <c r="B16" s="12" t="s">
        <v>119</v>
      </c>
      <c r="C16" s="12" t="s">
        <v>121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126</v>
      </c>
      <c r="B17" s="12" t="s">
        <v>128</v>
      </c>
      <c r="C17" s="12" t="s">
        <v>130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135</v>
      </c>
      <c r="B18" s="12" t="s">
        <v>137</v>
      </c>
      <c r="C18" s="12" t="s">
        <v>140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/>
      <c r="B19" s="12"/>
      <c r="C19" s="12"/>
      <c r="D19" s="12"/>
      <c r="E19" s="3"/>
      <c r="F19" s="3"/>
      <c r="G19" s="3"/>
      <c r="H19" s="3"/>
      <c r="I19" s="3"/>
      <c r="J19" s="3"/>
    </row>
    <row r="20" spans="1:10" ht="15.75" customHeight="1">
      <c r="A20" s="32" t="s">
        <v>151</v>
      </c>
      <c r="B20" s="33" t="s">
        <v>169</v>
      </c>
      <c r="C20" s="35" t="s">
        <v>176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37" t="s">
        <v>188</v>
      </c>
      <c r="B21" s="38"/>
      <c r="C21" s="39"/>
      <c r="D21" s="12"/>
      <c r="E21" s="3"/>
      <c r="F21" s="3"/>
      <c r="G21" s="3"/>
      <c r="H21" s="3"/>
      <c r="I21" s="3"/>
      <c r="J21" s="3"/>
    </row>
    <row r="22" spans="1:10" ht="15.75" customHeight="1">
      <c r="A22" s="41" t="s">
        <v>193</v>
      </c>
      <c r="B22" s="42" t="s">
        <v>194</v>
      </c>
      <c r="C22" s="44" t="s">
        <v>195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41" t="s">
        <v>199</v>
      </c>
      <c r="B23" s="42" t="s">
        <v>201</v>
      </c>
      <c r="C23" s="44" t="s">
        <v>202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37" t="s">
        <v>203</v>
      </c>
      <c r="B24" s="38"/>
      <c r="C24" s="39"/>
      <c r="D24" s="12"/>
      <c r="E24" s="3"/>
      <c r="F24" s="3"/>
      <c r="G24" s="3"/>
      <c r="H24" s="3"/>
      <c r="I24" s="3"/>
      <c r="J24" s="3"/>
    </row>
    <row r="25" spans="1:10" ht="15.75" customHeight="1">
      <c r="A25" s="41" t="s">
        <v>204</v>
      </c>
      <c r="B25" s="42" t="s">
        <v>206</v>
      </c>
      <c r="C25" s="44" t="s">
        <v>207</v>
      </c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209</v>
      </c>
      <c r="B26" s="42" t="s">
        <v>212</v>
      </c>
      <c r="C26" s="44" t="s">
        <v>213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215</v>
      </c>
      <c r="B27" s="42" t="s">
        <v>216</v>
      </c>
      <c r="C27" s="44" t="s">
        <v>217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218</v>
      </c>
      <c r="B28" s="42" t="s">
        <v>219</v>
      </c>
      <c r="C28" s="44" t="s">
        <v>220</v>
      </c>
      <c r="D28" s="12"/>
      <c r="E28" s="3"/>
      <c r="F28" s="3"/>
      <c r="G28" s="3"/>
      <c r="H28" s="3"/>
      <c r="I28" s="3"/>
      <c r="J28" s="3"/>
    </row>
    <row r="29" spans="1:10" ht="30">
      <c r="A29" s="41" t="s">
        <v>221</v>
      </c>
      <c r="B29" s="42" t="s">
        <v>222</v>
      </c>
      <c r="C29" s="44" t="s">
        <v>223</v>
      </c>
      <c r="D29" s="12"/>
      <c r="E29" s="3"/>
      <c r="F29" s="3"/>
      <c r="G29" s="3"/>
      <c r="H29" s="3"/>
      <c r="I29" s="3"/>
      <c r="J29" s="3"/>
    </row>
    <row r="30" spans="1:10" ht="15">
      <c r="A30" s="37" t="s">
        <v>224</v>
      </c>
      <c r="B30" s="38"/>
      <c r="C30" s="39"/>
      <c r="D30" s="12"/>
      <c r="E30" s="3"/>
      <c r="F30" s="3"/>
      <c r="G30" s="3"/>
      <c r="H30" s="3"/>
      <c r="I30" s="3"/>
      <c r="J30" s="3"/>
    </row>
    <row r="31" spans="1:10" ht="30">
      <c r="A31" s="41" t="s">
        <v>227</v>
      </c>
      <c r="B31" s="42" t="s">
        <v>228</v>
      </c>
      <c r="C31" s="44" t="s">
        <v>229</v>
      </c>
      <c r="D31" s="12"/>
      <c r="E31" s="3"/>
      <c r="F31" s="3"/>
      <c r="G31" s="3"/>
      <c r="H31" s="3"/>
      <c r="I31" s="3"/>
      <c r="J31" s="3"/>
    </row>
    <row r="32" spans="1:10" ht="30">
      <c r="A32" s="41" t="s">
        <v>230</v>
      </c>
      <c r="B32" s="42" t="s">
        <v>231</v>
      </c>
      <c r="C32" s="44" t="s">
        <v>232</v>
      </c>
      <c r="D32" s="12"/>
      <c r="E32" s="3"/>
      <c r="F32" s="3"/>
      <c r="G32" s="3"/>
      <c r="H32" s="3"/>
      <c r="I32" s="3"/>
      <c r="J32" s="3"/>
    </row>
    <row r="33" spans="1:10" ht="15">
      <c r="A33" s="37" t="s">
        <v>235</v>
      </c>
      <c r="B33" s="38"/>
      <c r="C33" s="39"/>
      <c r="D33" s="12"/>
      <c r="E33" s="3"/>
      <c r="F33" s="3"/>
      <c r="G33" s="3"/>
      <c r="H33" s="3"/>
      <c r="I33" s="3"/>
      <c r="J33" s="3"/>
    </row>
    <row r="34" spans="1:10" ht="30">
      <c r="A34" s="41" t="s">
        <v>237</v>
      </c>
      <c r="B34" s="42" t="s">
        <v>238</v>
      </c>
      <c r="C34" s="44" t="s">
        <v>239</v>
      </c>
      <c r="D34" s="12"/>
      <c r="E34" s="3"/>
      <c r="F34" s="3"/>
      <c r="G34" s="3"/>
      <c r="H34" s="3"/>
      <c r="I34" s="3"/>
      <c r="J34" s="3"/>
    </row>
    <row r="35" spans="1:10" ht="30">
      <c r="A35" s="53" t="s">
        <v>240</v>
      </c>
      <c r="B35" s="55" t="s">
        <v>243</v>
      </c>
      <c r="C35" s="56" t="s">
        <v>245</v>
      </c>
      <c r="D35" s="12"/>
      <c r="E35" s="3"/>
      <c r="F35" s="3"/>
      <c r="G35" s="3"/>
      <c r="H35" s="3"/>
      <c r="I35" s="3"/>
      <c r="J35" s="3"/>
    </row>
    <row r="36" spans="1:10" ht="15">
      <c r="A36" s="12"/>
      <c r="B36" s="12"/>
      <c r="C36" s="12"/>
      <c r="D36" s="12"/>
      <c r="E36" s="3"/>
      <c r="F36" s="3"/>
      <c r="G36" s="3"/>
      <c r="H36" s="3"/>
      <c r="I36" s="3"/>
      <c r="J36" s="3"/>
    </row>
    <row r="37" spans="1:10" ht="15">
      <c r="A37" s="12"/>
      <c r="B37" s="12"/>
      <c r="C37" s="12"/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5</v>
      </c>
      <c r="B2" s="4" t="s">
        <v>364</v>
      </c>
      <c r="C2" s="4" t="s">
        <v>365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42</v>
      </c>
      <c r="B5" s="12" t="s">
        <v>366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367</v>
      </c>
      <c r="B6" s="12" t="s">
        <v>368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149</v>
      </c>
      <c r="B7" s="12" t="s">
        <v>369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187</v>
      </c>
      <c r="B8" s="12" t="s">
        <v>370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12" t="s">
        <v>261</v>
      </c>
      <c r="B9" s="12" t="s">
        <v>373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12" t="s">
        <v>374</v>
      </c>
      <c r="B10" s="12" t="s">
        <v>375</v>
      </c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12"/>
      <c r="B11" s="12"/>
      <c r="C11" s="12"/>
      <c r="D11" s="12"/>
      <c r="E11" s="3"/>
      <c r="F11" s="3"/>
      <c r="G11" s="3"/>
      <c r="H11" s="3"/>
      <c r="I11" s="3"/>
      <c r="J11" s="3"/>
    </row>
    <row r="12" spans="1:10" ht="15.75" customHeight="1">
      <c r="A12" s="17" t="s">
        <v>54</v>
      </c>
      <c r="B12" s="17" t="s">
        <v>55</v>
      </c>
      <c r="C12" s="17" t="s">
        <v>57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378</v>
      </c>
      <c r="B13" s="12" t="s">
        <v>380</v>
      </c>
      <c r="C13" s="12" t="s">
        <v>382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384</v>
      </c>
      <c r="B14" s="12" t="s">
        <v>386</v>
      </c>
      <c r="C14" s="12" t="s">
        <v>387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388</v>
      </c>
      <c r="B15" s="12" t="s">
        <v>390</v>
      </c>
      <c r="C15" s="12" t="s">
        <v>391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392</v>
      </c>
      <c r="B16" s="12" t="s">
        <v>394</v>
      </c>
      <c r="C16" s="12" t="s">
        <v>395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397</v>
      </c>
      <c r="B17" s="12" t="s">
        <v>398</v>
      </c>
      <c r="C17" s="12" t="s">
        <v>399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32" t="s">
        <v>151</v>
      </c>
      <c r="B18" s="33" t="s">
        <v>169</v>
      </c>
      <c r="C18" s="35" t="s">
        <v>176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37" t="s">
        <v>188</v>
      </c>
      <c r="B19" s="38"/>
      <c r="C19" s="39"/>
      <c r="D19" s="12"/>
      <c r="E19" s="3"/>
      <c r="F19" s="3"/>
      <c r="G19" s="3"/>
      <c r="H19" s="3"/>
      <c r="I19" s="3"/>
      <c r="J19" s="3"/>
    </row>
    <row r="20" spans="1:10" ht="15.75" customHeight="1">
      <c r="A20" s="75" t="s">
        <v>412</v>
      </c>
      <c r="B20" s="76" t="s">
        <v>416</v>
      </c>
      <c r="C20" s="77" t="s">
        <v>419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41" t="s">
        <v>426</v>
      </c>
      <c r="B21" s="42" t="s">
        <v>429</v>
      </c>
      <c r="C21" s="44" t="s">
        <v>431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37" t="s">
        <v>203</v>
      </c>
      <c r="B22" s="38"/>
      <c r="C22" s="39"/>
      <c r="D22" s="12"/>
      <c r="E22" s="3"/>
      <c r="F22" s="3"/>
      <c r="G22" s="3"/>
      <c r="H22" s="3"/>
      <c r="I22" s="3"/>
      <c r="J22" s="3"/>
    </row>
    <row r="23" spans="1:10" ht="15.75" customHeight="1">
      <c r="A23" s="41" t="s">
        <v>204</v>
      </c>
      <c r="B23" s="42" t="s">
        <v>438</v>
      </c>
      <c r="C23" s="44" t="s">
        <v>439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41" t="s">
        <v>443</v>
      </c>
      <c r="B24" s="42" t="s">
        <v>444</v>
      </c>
      <c r="C24" s="44" t="s">
        <v>445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41" t="s">
        <v>446</v>
      </c>
      <c r="B25" s="42" t="s">
        <v>447</v>
      </c>
      <c r="C25" s="44" t="s">
        <v>448</v>
      </c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449</v>
      </c>
      <c r="B26" s="42" t="s">
        <v>450</v>
      </c>
      <c r="C26" s="44" t="s">
        <v>451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452</v>
      </c>
      <c r="B27" s="42" t="s">
        <v>453</v>
      </c>
      <c r="C27" s="44" t="s">
        <v>454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37" t="s">
        <v>224</v>
      </c>
      <c r="B28" s="38"/>
      <c r="C28" s="39"/>
      <c r="D28" s="12"/>
      <c r="E28" s="3"/>
      <c r="F28" s="3"/>
      <c r="G28" s="3"/>
      <c r="H28" s="3"/>
      <c r="I28" s="3"/>
      <c r="J28" s="3"/>
    </row>
    <row r="29" spans="1:10" ht="30">
      <c r="A29" s="41" t="s">
        <v>227</v>
      </c>
      <c r="B29" s="42" t="s">
        <v>457</v>
      </c>
      <c r="C29" s="44" t="s">
        <v>458</v>
      </c>
      <c r="D29" s="12"/>
      <c r="E29" s="3"/>
      <c r="F29" s="3"/>
      <c r="G29" s="3"/>
      <c r="H29" s="3"/>
      <c r="I29" s="3"/>
      <c r="J29" s="3"/>
    </row>
    <row r="30" spans="1:10" ht="30">
      <c r="A30" s="41" t="s">
        <v>230</v>
      </c>
      <c r="B30" s="42" t="s">
        <v>461</v>
      </c>
      <c r="C30" s="44" t="s">
        <v>462</v>
      </c>
      <c r="D30" s="12"/>
      <c r="E30" s="3"/>
      <c r="F30" s="3"/>
      <c r="G30" s="3"/>
      <c r="H30" s="3"/>
      <c r="I30" s="3"/>
      <c r="J30" s="3"/>
    </row>
    <row r="31" spans="1:10" ht="15">
      <c r="A31" s="37" t="s">
        <v>235</v>
      </c>
      <c r="B31" s="38"/>
      <c r="C31" s="39"/>
      <c r="D31" s="12"/>
      <c r="E31" s="3"/>
      <c r="F31" s="3"/>
      <c r="G31" s="3"/>
      <c r="H31" s="3"/>
      <c r="I31" s="3"/>
      <c r="J31" s="3"/>
    </row>
    <row r="32" spans="1:10" ht="30">
      <c r="A32" s="41" t="s">
        <v>237</v>
      </c>
      <c r="B32" s="42" t="s">
        <v>464</v>
      </c>
      <c r="C32" s="44" t="s">
        <v>466</v>
      </c>
      <c r="D32" s="12"/>
      <c r="E32" s="3"/>
      <c r="F32" s="3"/>
      <c r="G32" s="3"/>
      <c r="H32" s="3"/>
      <c r="I32" s="3"/>
      <c r="J32" s="3"/>
    </row>
    <row r="33" spans="1:10" ht="30">
      <c r="A33" s="53" t="s">
        <v>240</v>
      </c>
      <c r="B33" s="55" t="s">
        <v>472</v>
      </c>
      <c r="C33" s="56" t="s">
        <v>475</v>
      </c>
      <c r="D33" s="12"/>
      <c r="E33" s="3"/>
      <c r="F33" s="3"/>
      <c r="G33" s="3"/>
      <c r="H33" s="3"/>
      <c r="I33" s="3"/>
      <c r="J33" s="3"/>
    </row>
    <row r="34" spans="1:10" ht="15">
      <c r="A34" s="12"/>
      <c r="B34" s="12"/>
      <c r="C34" s="12"/>
      <c r="D34" s="12"/>
      <c r="E34" s="3"/>
      <c r="F34" s="3"/>
      <c r="G34" s="3"/>
      <c r="H34" s="3"/>
      <c r="I34" s="3"/>
      <c r="J34" s="3"/>
    </row>
    <row r="35" spans="1:10" ht="15">
      <c r="A35" s="12"/>
      <c r="B35" s="12"/>
      <c r="C35" s="12"/>
      <c r="D35" s="12"/>
      <c r="E35" s="3"/>
      <c r="F35" s="3"/>
      <c r="G35" s="3"/>
      <c r="H35" s="3"/>
      <c r="I35" s="3"/>
      <c r="J35" s="3"/>
    </row>
    <row r="36" spans="1:10" ht="15">
      <c r="A36" s="12"/>
      <c r="B36" s="12"/>
      <c r="C36" s="12"/>
      <c r="D36" s="12"/>
      <c r="E36" s="3"/>
      <c r="F36" s="3"/>
      <c r="G36" s="3"/>
      <c r="H36" s="3"/>
      <c r="I36" s="3"/>
      <c r="J36" s="3"/>
    </row>
    <row r="37" spans="1:10" ht="15">
      <c r="A37" s="12"/>
      <c r="B37" s="12"/>
      <c r="C37" s="12"/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  <row r="1005" spans="1:3" ht="13.2">
      <c r="A1005" s="59"/>
      <c r="B1005" s="60"/>
      <c r="C1005" s="60"/>
    </row>
    <row r="1006" spans="1:3" ht="13.2">
      <c r="A1006" s="59"/>
      <c r="B1006" s="60"/>
      <c r="C1006" s="60"/>
    </row>
    <row r="1007" spans="1:3" ht="13.2">
      <c r="A1007" s="59"/>
      <c r="B1007" s="60"/>
      <c r="C1007" s="60"/>
    </row>
    <row r="1008" spans="1:3" ht="13.2">
      <c r="A1008" s="59"/>
      <c r="B1008" s="60"/>
      <c r="C1008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6</v>
      </c>
      <c r="B2" s="4" t="s">
        <v>371</v>
      </c>
      <c r="C2" s="4" t="s">
        <v>372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376</v>
      </c>
      <c r="B5" s="12" t="s">
        <v>377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379</v>
      </c>
      <c r="B6" s="12" t="s">
        <v>381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383</v>
      </c>
      <c r="B7" s="12" t="s">
        <v>385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357</v>
      </c>
      <c r="B8" s="12" t="s">
        <v>389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 t="s">
        <v>393</v>
      </c>
      <c r="B9" s="74" t="s">
        <v>396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12"/>
      <c r="B10" s="12"/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17" t="s">
        <v>54</v>
      </c>
      <c r="B11" s="17" t="s">
        <v>55</v>
      </c>
      <c r="C11" s="17" t="s">
        <v>57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400</v>
      </c>
      <c r="B12" s="12" t="s">
        <v>401</v>
      </c>
      <c r="C12" s="12" t="s">
        <v>402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403</v>
      </c>
      <c r="B13" s="12" t="s">
        <v>404</v>
      </c>
      <c r="C13" s="12" t="s">
        <v>405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406</v>
      </c>
      <c r="B14" s="12" t="s">
        <v>407</v>
      </c>
      <c r="C14" s="12" t="s">
        <v>408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409</v>
      </c>
      <c r="B15" s="12" t="s">
        <v>410</v>
      </c>
      <c r="C15" s="12" t="s">
        <v>411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413</v>
      </c>
      <c r="B16" s="12" t="s">
        <v>379</v>
      </c>
      <c r="C16" s="12" t="s">
        <v>414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415</v>
      </c>
      <c r="B17" s="12" t="s">
        <v>417</v>
      </c>
      <c r="C17" s="12" t="s">
        <v>418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420</v>
      </c>
      <c r="B18" s="12" t="s">
        <v>421</v>
      </c>
      <c r="C18" s="12" t="s">
        <v>422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423</v>
      </c>
      <c r="B19" s="12" t="s">
        <v>424</v>
      </c>
      <c r="C19" s="12" t="s">
        <v>425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12" t="s">
        <v>427</v>
      </c>
      <c r="B20" s="12" t="s">
        <v>428</v>
      </c>
      <c r="C20" s="12" t="s">
        <v>430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12" t="s">
        <v>432</v>
      </c>
      <c r="B21" s="12" t="s">
        <v>433</v>
      </c>
      <c r="C21" s="12" t="s">
        <v>434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12" t="s">
        <v>435</v>
      </c>
      <c r="B22" s="12" t="s">
        <v>436</v>
      </c>
      <c r="C22" s="12" t="s">
        <v>437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12" t="s">
        <v>440</v>
      </c>
      <c r="B23" s="12" t="s">
        <v>441</v>
      </c>
      <c r="C23" s="12" t="s">
        <v>442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32" t="s">
        <v>151</v>
      </c>
      <c r="B24" s="33" t="s">
        <v>169</v>
      </c>
      <c r="C24" s="35" t="s">
        <v>176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37" t="s">
        <v>188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455</v>
      </c>
      <c r="B26" s="42" t="s">
        <v>456</v>
      </c>
      <c r="C26" s="44" t="s">
        <v>459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460</v>
      </c>
      <c r="B27" s="42" t="s">
        <v>393</v>
      </c>
      <c r="C27" s="44" t="s">
        <v>463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37" t="s">
        <v>203</v>
      </c>
      <c r="B28" s="38"/>
      <c r="C28" s="39"/>
      <c r="D28" s="12"/>
      <c r="E28" s="3"/>
      <c r="F28" s="3"/>
      <c r="G28" s="3"/>
      <c r="H28" s="3"/>
      <c r="I28" s="3"/>
      <c r="J28" s="3"/>
    </row>
    <row r="29" spans="1:10" ht="30">
      <c r="A29" s="41" t="s">
        <v>204</v>
      </c>
      <c r="B29" s="42" t="s">
        <v>465</v>
      </c>
      <c r="C29" s="44" t="s">
        <v>467</v>
      </c>
      <c r="D29" s="12"/>
      <c r="E29" s="3"/>
      <c r="F29" s="3"/>
      <c r="G29" s="3"/>
      <c r="H29" s="3"/>
      <c r="I29" s="3"/>
      <c r="J29" s="3"/>
    </row>
    <row r="30" spans="1:10" ht="15">
      <c r="A30" s="41" t="s">
        <v>443</v>
      </c>
      <c r="B30" s="42" t="s">
        <v>468</v>
      </c>
      <c r="C30" s="44" t="s">
        <v>469</v>
      </c>
      <c r="D30" s="12"/>
      <c r="E30" s="3"/>
      <c r="F30" s="3"/>
      <c r="G30" s="3"/>
      <c r="H30" s="3"/>
      <c r="I30" s="3"/>
      <c r="J30" s="3"/>
    </row>
    <row r="31" spans="1:10" ht="15">
      <c r="A31" s="41" t="s">
        <v>446</v>
      </c>
      <c r="B31" s="42" t="s">
        <v>470</v>
      </c>
      <c r="C31" s="44" t="s">
        <v>471</v>
      </c>
      <c r="D31" s="12"/>
      <c r="E31" s="3"/>
      <c r="F31" s="3"/>
      <c r="G31" s="3"/>
      <c r="H31" s="3"/>
      <c r="I31" s="3"/>
      <c r="J31" s="3"/>
    </row>
    <row r="32" spans="1:10" ht="30">
      <c r="A32" s="41" t="s">
        <v>449</v>
      </c>
      <c r="B32" s="42" t="s">
        <v>473</v>
      </c>
      <c r="C32" s="44" t="s">
        <v>474</v>
      </c>
      <c r="D32" s="12"/>
      <c r="E32" s="3"/>
      <c r="F32" s="3"/>
      <c r="G32" s="3"/>
      <c r="H32" s="3"/>
      <c r="I32" s="3"/>
      <c r="J32" s="3"/>
    </row>
    <row r="33" spans="1:10" ht="30">
      <c r="A33" s="41" t="s">
        <v>452</v>
      </c>
      <c r="B33" s="42" t="s">
        <v>476</v>
      </c>
      <c r="C33" s="44" t="s">
        <v>477</v>
      </c>
      <c r="D33" s="12"/>
      <c r="E33" s="3"/>
      <c r="F33" s="3"/>
      <c r="G33" s="3"/>
      <c r="H33" s="3"/>
      <c r="I33" s="3"/>
      <c r="J33" s="3"/>
    </row>
    <row r="34" spans="1:10" ht="15">
      <c r="A34" s="37" t="s">
        <v>224</v>
      </c>
      <c r="B34" s="38"/>
      <c r="C34" s="39"/>
      <c r="D34" s="12"/>
      <c r="E34" s="3"/>
      <c r="F34" s="3"/>
      <c r="G34" s="3"/>
      <c r="H34" s="3"/>
      <c r="I34" s="3"/>
      <c r="J34" s="3"/>
    </row>
    <row r="35" spans="1:10" ht="15">
      <c r="A35" s="41" t="s">
        <v>227</v>
      </c>
      <c r="B35" s="42" t="s">
        <v>478</v>
      </c>
      <c r="C35" s="44" t="s">
        <v>479</v>
      </c>
      <c r="D35" s="12"/>
      <c r="E35" s="3"/>
      <c r="F35" s="3"/>
      <c r="G35" s="3"/>
      <c r="H35" s="3"/>
      <c r="I35" s="3"/>
      <c r="J35" s="3"/>
    </row>
    <row r="36" spans="1:10" ht="15">
      <c r="A36" s="41" t="s">
        <v>230</v>
      </c>
      <c r="B36" s="42" t="s">
        <v>480</v>
      </c>
      <c r="C36" s="44" t="s">
        <v>481</v>
      </c>
      <c r="D36" s="12"/>
      <c r="E36" s="3"/>
      <c r="F36" s="3"/>
      <c r="G36" s="3"/>
      <c r="H36" s="3"/>
      <c r="I36" s="3"/>
      <c r="J36" s="3"/>
    </row>
    <row r="37" spans="1:10" ht="15">
      <c r="A37" s="37" t="s">
        <v>235</v>
      </c>
      <c r="B37" s="38"/>
      <c r="C37" s="39"/>
      <c r="D37" s="12"/>
      <c r="E37" s="3"/>
      <c r="F37" s="3"/>
      <c r="G37" s="3"/>
      <c r="H37" s="3"/>
      <c r="I37" s="3"/>
      <c r="J37" s="3"/>
    </row>
    <row r="38" spans="1:10" ht="30">
      <c r="A38" s="41" t="s">
        <v>237</v>
      </c>
      <c r="B38" s="42" t="s">
        <v>482</v>
      </c>
      <c r="C38" s="44" t="s">
        <v>483</v>
      </c>
      <c r="D38" s="12"/>
      <c r="E38" s="3"/>
      <c r="F38" s="3"/>
      <c r="G38" s="3"/>
      <c r="H38" s="3"/>
      <c r="I38" s="3"/>
      <c r="J38" s="3"/>
    </row>
    <row r="39" spans="1:10" ht="30">
      <c r="A39" s="53" t="s">
        <v>240</v>
      </c>
      <c r="B39" s="55" t="s">
        <v>484</v>
      </c>
      <c r="C39" s="56" t="s">
        <v>485</v>
      </c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  <row r="1005" spans="1:3" ht="13.2">
      <c r="A1005" s="59"/>
      <c r="B1005" s="60"/>
      <c r="C1005" s="60"/>
    </row>
    <row r="1006" spans="1:3" ht="13.2">
      <c r="A1006" s="59"/>
      <c r="B1006" s="60"/>
      <c r="C1006" s="60"/>
    </row>
    <row r="1007" spans="1:3" ht="13.2">
      <c r="A1007" s="59"/>
      <c r="B1007" s="60"/>
      <c r="C1007" s="60"/>
    </row>
    <row r="1008" spans="1:3" ht="13.2">
      <c r="A1008" s="59"/>
      <c r="B1008" s="60"/>
      <c r="C1008" s="6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6640625" customWidth="1"/>
    <col min="2" max="2" width="31.33203125" customWidth="1"/>
    <col min="3" max="3" width="52.6640625" customWidth="1"/>
    <col min="4" max="4" width="20.10937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7</v>
      </c>
      <c r="B2" s="4" t="s">
        <v>486</v>
      </c>
      <c r="C2" s="4" t="s">
        <v>74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7"/>
      <c r="E4" s="3"/>
      <c r="F4" s="3"/>
      <c r="G4" s="3"/>
      <c r="H4" s="3"/>
      <c r="I4" s="3"/>
      <c r="J4" s="3"/>
    </row>
    <row r="5" spans="1:10" ht="15.75" customHeight="1">
      <c r="A5" s="12" t="s">
        <v>487</v>
      </c>
      <c r="B5" s="12" t="s">
        <v>488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489</v>
      </c>
      <c r="B6" s="12" t="s">
        <v>490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491</v>
      </c>
      <c r="B7" s="12" t="s">
        <v>492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493</v>
      </c>
      <c r="B8" s="12" t="s">
        <v>494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/>
      <c r="B9" s="74"/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17" t="s">
        <v>54</v>
      </c>
      <c r="B10" s="17" t="s">
        <v>55</v>
      </c>
      <c r="C10" s="17" t="s">
        <v>57</v>
      </c>
      <c r="D10" s="17"/>
      <c r="E10" s="3"/>
      <c r="F10" s="3"/>
      <c r="G10" s="3"/>
      <c r="H10" s="3"/>
      <c r="I10" s="3"/>
      <c r="J10" s="3"/>
    </row>
    <row r="11" spans="1:10" ht="15.75" customHeight="1">
      <c r="A11" s="12" t="s">
        <v>495</v>
      </c>
      <c r="B11" s="12" t="s">
        <v>496</v>
      </c>
      <c r="C11" s="12" t="s">
        <v>497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498</v>
      </c>
      <c r="B12" s="12" t="s">
        <v>499</v>
      </c>
      <c r="C12" s="12" t="s">
        <v>500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501</v>
      </c>
      <c r="B13" s="12" t="s">
        <v>502</v>
      </c>
      <c r="C13" s="12" t="s">
        <v>503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504</v>
      </c>
      <c r="B14" s="12" t="s">
        <v>505</v>
      </c>
      <c r="C14" s="12" t="s">
        <v>506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507</v>
      </c>
      <c r="B15" s="12" t="s">
        <v>508</v>
      </c>
      <c r="C15" s="12" t="s">
        <v>509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510</v>
      </c>
      <c r="B16" s="12" t="s">
        <v>491</v>
      </c>
      <c r="C16" s="12" t="s">
        <v>511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512</v>
      </c>
      <c r="B17" s="12" t="s">
        <v>493</v>
      </c>
      <c r="C17" s="12" t="s">
        <v>513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514</v>
      </c>
      <c r="B18" s="12" t="s">
        <v>436</v>
      </c>
      <c r="C18" s="12" t="s">
        <v>515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516</v>
      </c>
      <c r="B19" s="12" t="s">
        <v>517</v>
      </c>
      <c r="C19" s="12" t="s">
        <v>518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12" t="s">
        <v>519</v>
      </c>
      <c r="B20" s="12" t="s">
        <v>520</v>
      </c>
      <c r="C20" s="12" t="s">
        <v>521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12" t="s">
        <v>522</v>
      </c>
      <c r="B21" s="12" t="s">
        <v>523</v>
      </c>
      <c r="C21" s="12" t="s">
        <v>524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12" t="s">
        <v>525</v>
      </c>
      <c r="B22" s="12" t="s">
        <v>526</v>
      </c>
      <c r="C22" s="12" t="s">
        <v>527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12" t="s">
        <v>528</v>
      </c>
      <c r="B23" s="12" t="s">
        <v>529</v>
      </c>
      <c r="C23" s="12" t="s">
        <v>530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78">
        <v>0.89583333333333337</v>
      </c>
      <c r="B24" s="12" t="s">
        <v>531</v>
      </c>
      <c r="C24" s="12" t="s">
        <v>532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12"/>
      <c r="B25" s="12"/>
      <c r="C25" s="12"/>
      <c r="D25" s="12"/>
      <c r="E25" s="3"/>
      <c r="F25" s="3"/>
      <c r="G25" s="3"/>
      <c r="H25" s="3"/>
      <c r="I25" s="3"/>
      <c r="J25" s="3"/>
    </row>
    <row r="26" spans="1:10" ht="15.75" customHeight="1">
      <c r="A26" s="32" t="s">
        <v>151</v>
      </c>
      <c r="B26" s="33" t="s">
        <v>169</v>
      </c>
      <c r="C26" s="33" t="s">
        <v>176</v>
      </c>
      <c r="D26" s="35" t="s">
        <v>533</v>
      </c>
      <c r="E26" s="3"/>
      <c r="F26" s="3"/>
      <c r="G26" s="57"/>
      <c r="H26" s="3"/>
      <c r="I26" s="3"/>
      <c r="J26" s="3"/>
    </row>
    <row r="27" spans="1:10" ht="15.75" customHeight="1">
      <c r="A27" s="37" t="s">
        <v>188</v>
      </c>
      <c r="B27" s="38"/>
      <c r="C27" s="38"/>
      <c r="D27" s="39"/>
      <c r="E27" s="3"/>
      <c r="F27" s="3"/>
      <c r="G27" s="57"/>
      <c r="H27" s="3"/>
      <c r="I27" s="3"/>
      <c r="J27" s="3"/>
    </row>
    <row r="28" spans="1:10" ht="15.75" customHeight="1">
      <c r="A28" s="41" t="s">
        <v>536</v>
      </c>
      <c r="B28" s="42" t="s">
        <v>537</v>
      </c>
      <c r="C28" s="42" t="s">
        <v>538</v>
      </c>
      <c r="D28" s="44" t="s">
        <v>539</v>
      </c>
      <c r="E28" s="3"/>
      <c r="F28" s="3"/>
      <c r="G28" s="57"/>
      <c r="H28" s="3"/>
      <c r="I28" s="3"/>
      <c r="J28" s="3"/>
    </row>
    <row r="29" spans="1:10" ht="30">
      <c r="A29" s="41" t="s">
        <v>542</v>
      </c>
      <c r="B29" s="42" t="s">
        <v>543</v>
      </c>
      <c r="C29" s="42" t="s">
        <v>544</v>
      </c>
      <c r="D29" s="44" t="s">
        <v>546</v>
      </c>
      <c r="E29" s="3"/>
      <c r="F29" s="3"/>
      <c r="G29" s="57"/>
      <c r="H29" s="3"/>
      <c r="I29" s="3"/>
      <c r="J29" s="3"/>
    </row>
    <row r="30" spans="1:10" ht="30">
      <c r="A30" s="41" t="s">
        <v>554</v>
      </c>
      <c r="B30" s="42" t="s">
        <v>557</v>
      </c>
      <c r="C30" s="42" t="s">
        <v>558</v>
      </c>
      <c r="D30" s="44" t="s">
        <v>559</v>
      </c>
      <c r="E30" s="3"/>
      <c r="F30" s="3"/>
      <c r="G30" s="3"/>
      <c r="H30" s="3"/>
      <c r="I30" s="3"/>
      <c r="J30" s="3"/>
    </row>
    <row r="31" spans="1:10" ht="15">
      <c r="A31" s="37" t="s">
        <v>203</v>
      </c>
      <c r="B31" s="38"/>
      <c r="C31" s="38"/>
      <c r="D31" s="39"/>
      <c r="E31" s="3"/>
      <c r="F31" s="3"/>
      <c r="G31" s="3"/>
      <c r="H31" s="3"/>
      <c r="I31" s="3"/>
      <c r="J31" s="3"/>
    </row>
    <row r="32" spans="1:10" ht="30">
      <c r="A32" s="41" t="s">
        <v>563</v>
      </c>
      <c r="B32" s="42" t="s">
        <v>564</v>
      </c>
      <c r="C32" s="42" t="s">
        <v>565</v>
      </c>
      <c r="D32" s="44" t="s">
        <v>568</v>
      </c>
      <c r="E32" s="3"/>
      <c r="F32" s="3"/>
      <c r="G32" s="3"/>
      <c r="H32" s="3"/>
      <c r="I32" s="3"/>
      <c r="J32" s="3"/>
    </row>
    <row r="33" spans="1:10" ht="15">
      <c r="A33" s="41" t="s">
        <v>570</v>
      </c>
      <c r="B33" s="42" t="s">
        <v>573</v>
      </c>
      <c r="C33" s="42" t="s">
        <v>575</v>
      </c>
      <c r="D33" s="44" t="s">
        <v>576</v>
      </c>
      <c r="E33" s="3"/>
      <c r="F33" s="3"/>
      <c r="G33" s="3"/>
      <c r="H33" s="3"/>
      <c r="I33" s="3"/>
      <c r="J33" s="3"/>
    </row>
    <row r="34" spans="1:10" ht="30">
      <c r="A34" s="41" t="s">
        <v>443</v>
      </c>
      <c r="B34" s="42" t="s">
        <v>580</v>
      </c>
      <c r="C34" s="42" t="s">
        <v>581</v>
      </c>
      <c r="D34" s="44" t="s">
        <v>582</v>
      </c>
      <c r="E34" s="3"/>
      <c r="F34" s="3"/>
      <c r="G34" s="3"/>
      <c r="H34" s="3"/>
      <c r="I34" s="3"/>
      <c r="J34" s="3"/>
    </row>
    <row r="35" spans="1:10" ht="30">
      <c r="A35" s="41" t="s">
        <v>446</v>
      </c>
      <c r="B35" s="42" t="s">
        <v>588</v>
      </c>
      <c r="C35" s="42" t="s">
        <v>591</v>
      </c>
      <c r="D35" s="44" t="s">
        <v>582</v>
      </c>
      <c r="E35" s="3"/>
      <c r="F35" s="3"/>
      <c r="G35" s="3"/>
      <c r="H35" s="3"/>
      <c r="I35" s="3"/>
      <c r="J35" s="3"/>
    </row>
    <row r="36" spans="1:10" ht="30">
      <c r="A36" s="41" t="s">
        <v>449</v>
      </c>
      <c r="B36" s="42" t="s">
        <v>596</v>
      </c>
      <c r="C36" s="42" t="s">
        <v>598</v>
      </c>
      <c r="D36" s="44" t="s">
        <v>600</v>
      </c>
      <c r="E36" s="3"/>
      <c r="F36" s="3"/>
      <c r="G36" s="3"/>
      <c r="H36" s="3"/>
      <c r="I36" s="3"/>
      <c r="J36" s="3"/>
    </row>
    <row r="37" spans="1:10" ht="30">
      <c r="A37" s="41" t="s">
        <v>452</v>
      </c>
      <c r="B37" s="42" t="s">
        <v>603</v>
      </c>
      <c r="C37" s="42" t="s">
        <v>605</v>
      </c>
      <c r="D37" s="44" t="s">
        <v>607</v>
      </c>
      <c r="E37" s="3"/>
      <c r="F37" s="3"/>
      <c r="G37" s="3"/>
      <c r="H37" s="3"/>
      <c r="I37" s="3"/>
      <c r="J37" s="3"/>
    </row>
    <row r="38" spans="1:10" ht="15">
      <c r="A38" s="37" t="s">
        <v>224</v>
      </c>
      <c r="B38" s="38"/>
      <c r="C38" s="38"/>
      <c r="D38" s="39"/>
      <c r="E38" s="3"/>
      <c r="F38" s="3"/>
      <c r="G38" s="3"/>
      <c r="H38" s="3"/>
      <c r="I38" s="3"/>
      <c r="J38" s="3"/>
    </row>
    <row r="39" spans="1:10" ht="30">
      <c r="A39" s="41" t="s">
        <v>227</v>
      </c>
      <c r="B39" s="42" t="s">
        <v>620</v>
      </c>
      <c r="C39" s="42" t="s">
        <v>621</v>
      </c>
      <c r="D39" s="44" t="s">
        <v>622</v>
      </c>
      <c r="E39" s="3"/>
      <c r="F39" s="3"/>
      <c r="G39" s="3"/>
      <c r="H39" s="3"/>
      <c r="I39" s="3"/>
      <c r="J39" s="3"/>
    </row>
    <row r="40" spans="1:10" ht="30">
      <c r="A40" s="41" t="s">
        <v>230</v>
      </c>
      <c r="B40" s="42" t="s">
        <v>625</v>
      </c>
      <c r="C40" s="42" t="s">
        <v>626</v>
      </c>
      <c r="D40" s="44" t="s">
        <v>628</v>
      </c>
      <c r="E40" s="3"/>
      <c r="F40" s="3"/>
      <c r="G40" s="3"/>
      <c r="H40" s="3"/>
      <c r="I40" s="3"/>
      <c r="J40" s="3"/>
    </row>
    <row r="41" spans="1:10" ht="15">
      <c r="A41" s="37" t="s">
        <v>235</v>
      </c>
      <c r="B41" s="38"/>
      <c r="C41" s="38"/>
      <c r="D41" s="39"/>
      <c r="E41" s="3"/>
      <c r="F41" s="3"/>
      <c r="G41" s="3"/>
      <c r="H41" s="3"/>
      <c r="I41" s="3"/>
      <c r="J41" s="3"/>
    </row>
    <row r="42" spans="1:10" ht="30">
      <c r="A42" s="41" t="s">
        <v>237</v>
      </c>
      <c r="B42" s="42" t="s">
        <v>630</v>
      </c>
      <c r="C42" s="42" t="s">
        <v>631</v>
      </c>
      <c r="D42" s="44" t="s">
        <v>632</v>
      </c>
      <c r="E42" s="3"/>
      <c r="F42" s="3"/>
      <c r="G42" s="3"/>
      <c r="H42" s="3"/>
      <c r="I42" s="3"/>
      <c r="J42" s="3"/>
    </row>
    <row r="43" spans="1:10" ht="30">
      <c r="A43" s="53" t="s">
        <v>240</v>
      </c>
      <c r="B43" s="55" t="s">
        <v>638</v>
      </c>
      <c r="C43" s="55" t="s">
        <v>641</v>
      </c>
      <c r="D43" s="56" t="s">
        <v>643</v>
      </c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57"/>
      <c r="B61" s="57"/>
      <c r="C61" s="57"/>
      <c r="D61" s="57"/>
      <c r="E61" s="3"/>
      <c r="F61" s="3"/>
      <c r="G61" s="3"/>
      <c r="H61" s="3"/>
      <c r="I61" s="3"/>
      <c r="J61" s="3"/>
    </row>
    <row r="62" spans="1:10" ht="15">
      <c r="A62" s="57"/>
      <c r="B62" s="57"/>
      <c r="C62" s="57"/>
      <c r="D62" s="57"/>
      <c r="E62" s="3"/>
      <c r="F62" s="3"/>
      <c r="G62" s="3"/>
      <c r="H62" s="3"/>
      <c r="I62" s="3"/>
      <c r="J62" s="3"/>
    </row>
    <row r="63" spans="1:10" ht="15">
      <c r="A63" s="57"/>
      <c r="B63" s="57"/>
      <c r="C63" s="57"/>
      <c r="D63" s="57"/>
      <c r="E63" s="3"/>
      <c r="F63" s="3"/>
      <c r="G63" s="3"/>
      <c r="H63" s="3"/>
      <c r="I63" s="3"/>
      <c r="J63" s="3"/>
    </row>
    <row r="64" spans="1:10" ht="15">
      <c r="A64" s="57"/>
      <c r="B64" s="57"/>
      <c r="C64" s="57"/>
      <c r="D64" s="57"/>
      <c r="E64" s="3"/>
      <c r="F64" s="3"/>
      <c r="G64" s="3"/>
      <c r="H64" s="3"/>
      <c r="I64" s="3"/>
      <c r="J64" s="3"/>
    </row>
    <row r="65" spans="1:10" ht="15">
      <c r="A65" s="57"/>
      <c r="B65" s="57"/>
      <c r="C65" s="57"/>
      <c r="D65" s="57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  <row r="1005" spans="1:3" ht="13.2">
      <c r="A1005" s="59"/>
      <c r="B1005" s="60"/>
      <c r="C1005" s="60"/>
    </row>
    <row r="1006" spans="1:3" ht="13.2">
      <c r="A1006" s="59"/>
      <c r="B1006" s="60"/>
      <c r="C1006" s="60"/>
    </row>
    <row r="1007" spans="1:3" ht="13.2">
      <c r="A1007" s="59"/>
      <c r="B1007" s="60"/>
      <c r="C1007" s="60"/>
    </row>
    <row r="1008" spans="1:3" ht="13.2">
      <c r="A1008" s="59"/>
      <c r="B1008" s="60"/>
      <c r="C1008" s="60"/>
    </row>
    <row r="1009" spans="1:3" ht="13.2">
      <c r="A1009" s="59"/>
      <c r="B1009" s="60"/>
      <c r="C1009" s="60"/>
    </row>
    <row r="1010" spans="1:3" ht="13.2">
      <c r="A1010" s="59"/>
      <c r="B1010" s="60"/>
      <c r="C1010" s="60"/>
    </row>
    <row r="1011" spans="1:3" ht="13.2">
      <c r="A1011" s="59"/>
      <c r="B1011" s="60"/>
      <c r="C1011" s="60"/>
    </row>
    <row r="1012" spans="1:3" ht="13.2">
      <c r="A1012" s="59"/>
      <c r="B1012" s="60"/>
      <c r="C1012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8</v>
      </c>
      <c r="B2" s="4" t="s">
        <v>534</v>
      </c>
      <c r="C2" s="4" t="s">
        <v>535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540</v>
      </c>
      <c r="B5" s="12" t="s">
        <v>541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545</v>
      </c>
      <c r="B6" s="12" t="s">
        <v>547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548</v>
      </c>
      <c r="B7" s="12" t="s">
        <v>549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550</v>
      </c>
      <c r="B8" s="12" t="s">
        <v>551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 t="s">
        <v>552</v>
      </c>
      <c r="B9" s="74" t="s">
        <v>553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12" t="s">
        <v>555</v>
      </c>
      <c r="B10" s="12" t="s">
        <v>556</v>
      </c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78"/>
      <c r="B11" s="12"/>
      <c r="C11" s="12"/>
      <c r="D11" s="12"/>
      <c r="E11" s="3"/>
      <c r="F11" s="3"/>
      <c r="G11" s="3"/>
      <c r="H11" s="3"/>
      <c r="I11" s="3"/>
      <c r="J11" s="3"/>
    </row>
    <row r="12" spans="1:10" ht="15.75" customHeight="1">
      <c r="A12" s="17" t="s">
        <v>54</v>
      </c>
      <c r="B12" s="17" t="s">
        <v>55</v>
      </c>
      <c r="C12" s="17" t="s">
        <v>57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560</v>
      </c>
      <c r="B13" s="12" t="s">
        <v>561</v>
      </c>
      <c r="C13" s="12" t="s">
        <v>562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566</v>
      </c>
      <c r="B14" s="12" t="s">
        <v>567</v>
      </c>
      <c r="C14" s="12" t="s">
        <v>569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571</v>
      </c>
      <c r="B15" s="12" t="s">
        <v>572</v>
      </c>
      <c r="C15" s="12" t="s">
        <v>574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577</v>
      </c>
      <c r="B16" s="12" t="s">
        <v>578</v>
      </c>
      <c r="C16" s="12" t="s">
        <v>579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583</v>
      </c>
      <c r="B17" s="12" t="s">
        <v>584</v>
      </c>
      <c r="C17" s="12" t="s">
        <v>585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589</v>
      </c>
      <c r="B18" s="12" t="s">
        <v>590</v>
      </c>
      <c r="C18" s="12" t="s">
        <v>592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593</v>
      </c>
      <c r="B19" s="12" t="s">
        <v>594</v>
      </c>
      <c r="C19" s="12" t="s">
        <v>595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12" t="s">
        <v>597</v>
      </c>
      <c r="B20" s="12" t="s">
        <v>599</v>
      </c>
      <c r="C20" s="12" t="s">
        <v>601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12" t="s">
        <v>602</v>
      </c>
      <c r="B21" s="12" t="s">
        <v>604</v>
      </c>
      <c r="C21" s="12" t="s">
        <v>606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12" t="s">
        <v>610</v>
      </c>
      <c r="B22" s="12" t="s">
        <v>611</v>
      </c>
      <c r="C22" s="12" t="s">
        <v>612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12" t="s">
        <v>615</v>
      </c>
      <c r="B23" s="12" t="s">
        <v>616</v>
      </c>
      <c r="C23" s="12" t="s">
        <v>617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32" t="s">
        <v>151</v>
      </c>
      <c r="B24" s="33" t="s">
        <v>169</v>
      </c>
      <c r="C24" s="35" t="s">
        <v>176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37" t="s">
        <v>188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636</v>
      </c>
      <c r="B26" s="42" t="s">
        <v>540</v>
      </c>
      <c r="C26" s="44" t="s">
        <v>642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647</v>
      </c>
      <c r="B27" s="42" t="s">
        <v>545</v>
      </c>
      <c r="C27" s="44" t="s">
        <v>648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652</v>
      </c>
      <c r="B28" s="42" t="s">
        <v>653</v>
      </c>
      <c r="C28" s="44" t="s">
        <v>654</v>
      </c>
      <c r="D28" s="12"/>
      <c r="E28" s="3"/>
      <c r="F28" s="3"/>
      <c r="G28" s="3"/>
      <c r="H28" s="3"/>
      <c r="I28" s="3"/>
      <c r="J28" s="3"/>
    </row>
    <row r="29" spans="1:10" ht="15">
      <c r="A29" s="37" t="s">
        <v>203</v>
      </c>
      <c r="B29" s="38"/>
      <c r="C29" s="39"/>
      <c r="D29" s="12"/>
      <c r="E29" s="3"/>
      <c r="F29" s="3"/>
      <c r="G29" s="3"/>
      <c r="H29" s="3"/>
      <c r="I29" s="3"/>
      <c r="J29" s="3"/>
    </row>
    <row r="30" spans="1:10" ht="30">
      <c r="A30" s="41" t="s">
        <v>204</v>
      </c>
      <c r="B30" s="42" t="s">
        <v>658</v>
      </c>
      <c r="C30" s="44" t="s">
        <v>660</v>
      </c>
      <c r="D30" s="12"/>
      <c r="E30" s="3"/>
      <c r="F30" s="3"/>
      <c r="G30" s="3"/>
      <c r="H30" s="3"/>
      <c r="I30" s="3"/>
      <c r="J30" s="3"/>
    </row>
    <row r="31" spans="1:10" ht="30">
      <c r="A31" s="41" t="s">
        <v>443</v>
      </c>
      <c r="B31" s="42" t="s">
        <v>662</v>
      </c>
      <c r="C31" s="44" t="s">
        <v>664</v>
      </c>
      <c r="D31" s="12"/>
      <c r="E31" s="3"/>
      <c r="F31" s="3"/>
      <c r="G31" s="3"/>
      <c r="H31" s="3"/>
      <c r="I31" s="3"/>
      <c r="J31" s="3"/>
    </row>
    <row r="32" spans="1:10" ht="30">
      <c r="A32" s="41" t="s">
        <v>446</v>
      </c>
      <c r="B32" s="42" t="s">
        <v>666</v>
      </c>
      <c r="C32" s="44" t="s">
        <v>667</v>
      </c>
      <c r="D32" s="12"/>
      <c r="E32" s="3"/>
      <c r="F32" s="3"/>
      <c r="G32" s="3"/>
      <c r="H32" s="3"/>
      <c r="I32" s="3"/>
      <c r="J32" s="3"/>
    </row>
    <row r="33" spans="1:10" ht="15">
      <c r="A33" s="41" t="s">
        <v>668</v>
      </c>
      <c r="B33" s="42" t="s">
        <v>669</v>
      </c>
      <c r="C33" s="44" t="s">
        <v>670</v>
      </c>
      <c r="D33" s="12"/>
      <c r="E33" s="3"/>
      <c r="F33" s="3"/>
      <c r="G33" s="3"/>
      <c r="H33" s="3"/>
      <c r="I33" s="3"/>
      <c r="J33" s="3"/>
    </row>
    <row r="34" spans="1:10" ht="15">
      <c r="A34" s="37" t="s">
        <v>224</v>
      </c>
      <c r="B34" s="38"/>
      <c r="C34" s="39"/>
      <c r="D34" s="12"/>
      <c r="E34" s="3"/>
      <c r="F34" s="3"/>
      <c r="G34" s="3"/>
      <c r="H34" s="3"/>
      <c r="I34" s="3"/>
      <c r="J34" s="3"/>
    </row>
    <row r="35" spans="1:10" ht="15">
      <c r="A35" s="41" t="s">
        <v>227</v>
      </c>
      <c r="B35" s="42" t="s">
        <v>671</v>
      </c>
      <c r="C35" s="44" t="s">
        <v>672</v>
      </c>
      <c r="D35" s="12"/>
      <c r="E35" s="3"/>
      <c r="F35" s="3"/>
      <c r="G35" s="3"/>
      <c r="H35" s="3"/>
      <c r="I35" s="3"/>
      <c r="J35" s="3"/>
    </row>
    <row r="36" spans="1:10" ht="15">
      <c r="A36" s="41" t="s">
        <v>230</v>
      </c>
      <c r="B36" s="42" t="s">
        <v>673</v>
      </c>
      <c r="C36" s="44" t="s">
        <v>674</v>
      </c>
      <c r="D36" s="12"/>
      <c r="E36" s="3"/>
      <c r="F36" s="3"/>
      <c r="G36" s="3"/>
      <c r="H36" s="3"/>
      <c r="I36" s="3"/>
      <c r="J36" s="3"/>
    </row>
    <row r="37" spans="1:10" ht="15">
      <c r="A37" s="37" t="s">
        <v>235</v>
      </c>
      <c r="B37" s="38"/>
      <c r="C37" s="39"/>
      <c r="D37" s="12"/>
      <c r="E37" s="3"/>
      <c r="F37" s="3"/>
      <c r="G37" s="3"/>
      <c r="H37" s="3"/>
      <c r="I37" s="3"/>
      <c r="J37" s="3"/>
    </row>
    <row r="38" spans="1:10" ht="15">
      <c r="A38" s="41" t="s">
        <v>237</v>
      </c>
      <c r="B38" s="42" t="s">
        <v>677</v>
      </c>
      <c r="C38" s="44" t="s">
        <v>678</v>
      </c>
      <c r="D38" s="12"/>
      <c r="E38" s="3"/>
      <c r="F38" s="3"/>
      <c r="G38" s="3"/>
      <c r="H38" s="3"/>
      <c r="I38" s="3"/>
      <c r="J38" s="3"/>
    </row>
    <row r="39" spans="1:10" ht="15">
      <c r="A39" s="53" t="s">
        <v>240</v>
      </c>
      <c r="B39" s="55" t="s">
        <v>683</v>
      </c>
      <c r="C39" s="56" t="s">
        <v>686</v>
      </c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  <row r="1005" spans="1:3" ht="13.2">
      <c r="A1005" s="59"/>
      <c r="B1005" s="60"/>
      <c r="C1005" s="60"/>
    </row>
    <row r="1006" spans="1:3" ht="13.2">
      <c r="A1006" s="59"/>
      <c r="B1006" s="60"/>
      <c r="C1006" s="60"/>
    </row>
    <row r="1007" spans="1:3" ht="13.2">
      <c r="A1007" s="59"/>
      <c r="B1007" s="60"/>
      <c r="C1007" s="60"/>
    </row>
    <row r="1008" spans="1:3" ht="13.2">
      <c r="A1008" s="59"/>
      <c r="B1008" s="60"/>
      <c r="C1008" s="6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0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9</v>
      </c>
      <c r="B2" s="4" t="s">
        <v>586</v>
      </c>
      <c r="C2" s="4" t="s">
        <v>587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608</v>
      </c>
      <c r="B5" s="12" t="s">
        <v>609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613</v>
      </c>
      <c r="B6" s="12" t="s">
        <v>614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618</v>
      </c>
      <c r="B7" s="12" t="s">
        <v>619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623</v>
      </c>
      <c r="B8" s="12" t="s">
        <v>624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 t="s">
        <v>627</v>
      </c>
      <c r="B9" s="74" t="s">
        <v>629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78"/>
      <c r="B10" s="12"/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17" t="s">
        <v>54</v>
      </c>
      <c r="B11" s="17" t="s">
        <v>55</v>
      </c>
      <c r="C11" s="17" t="s">
        <v>57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633</v>
      </c>
      <c r="B12" s="12" t="s">
        <v>634</v>
      </c>
      <c r="C12" s="12" t="s">
        <v>635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637</v>
      </c>
      <c r="B13" s="12" t="s">
        <v>639</v>
      </c>
      <c r="C13" s="12" t="s">
        <v>640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644</v>
      </c>
      <c r="B14" s="12" t="s">
        <v>645</v>
      </c>
      <c r="C14" s="12" t="s">
        <v>646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649</v>
      </c>
      <c r="B15" s="12" t="s">
        <v>650</v>
      </c>
      <c r="C15" s="12" t="s">
        <v>651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514</v>
      </c>
      <c r="B16" s="12" t="s">
        <v>655</v>
      </c>
      <c r="C16" s="12" t="s">
        <v>656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516</v>
      </c>
      <c r="B17" s="12" t="s">
        <v>657</v>
      </c>
      <c r="C17" s="12" t="s">
        <v>659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661</v>
      </c>
      <c r="B18" s="12" t="s">
        <v>663</v>
      </c>
      <c r="C18" s="12" t="s">
        <v>665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78"/>
      <c r="B19" s="12"/>
      <c r="C19" s="12"/>
      <c r="D19" s="12"/>
      <c r="E19" s="3"/>
      <c r="F19" s="3"/>
      <c r="G19" s="3"/>
      <c r="H19" s="3"/>
      <c r="I19" s="3"/>
      <c r="J19" s="3"/>
    </row>
    <row r="20" spans="1:10" ht="15.75" customHeight="1">
      <c r="A20" s="32" t="s">
        <v>151</v>
      </c>
      <c r="B20" s="33" t="s">
        <v>169</v>
      </c>
      <c r="C20" s="35" t="s">
        <v>176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37" t="s">
        <v>188</v>
      </c>
      <c r="B21" s="38"/>
      <c r="C21" s="39"/>
      <c r="D21" s="12"/>
      <c r="E21" s="3"/>
      <c r="F21" s="3"/>
      <c r="G21" s="3"/>
      <c r="H21" s="3"/>
      <c r="I21" s="3"/>
      <c r="J21" s="3"/>
    </row>
    <row r="22" spans="1:10" ht="15.75" customHeight="1">
      <c r="A22" s="41" t="s">
        <v>675</v>
      </c>
      <c r="B22" s="42" t="s">
        <v>676</v>
      </c>
      <c r="C22" s="44" t="s">
        <v>679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41" t="s">
        <v>680</v>
      </c>
      <c r="B23" s="42" t="s">
        <v>681</v>
      </c>
      <c r="C23" s="44" t="s">
        <v>682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41" t="s">
        <v>684</v>
      </c>
      <c r="B24" s="42" t="s">
        <v>685</v>
      </c>
      <c r="C24" s="44" t="s">
        <v>687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37" t="s">
        <v>203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204</v>
      </c>
      <c r="B26" s="42" t="s">
        <v>688</v>
      </c>
      <c r="C26" s="44" t="s">
        <v>689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443</v>
      </c>
      <c r="B27" s="42" t="s">
        <v>690</v>
      </c>
      <c r="C27" s="44" t="s">
        <v>691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446</v>
      </c>
      <c r="B28" s="42" t="s">
        <v>692</v>
      </c>
      <c r="C28" s="44" t="s">
        <v>693</v>
      </c>
      <c r="D28" s="12"/>
      <c r="E28" s="3"/>
      <c r="F28" s="3"/>
      <c r="G28" s="3"/>
      <c r="H28" s="3"/>
      <c r="I28" s="3"/>
      <c r="J28" s="3"/>
    </row>
    <row r="29" spans="1:10" ht="30">
      <c r="A29" s="41" t="s">
        <v>449</v>
      </c>
      <c r="B29" s="42" t="s">
        <v>694</v>
      </c>
      <c r="C29" s="44" t="s">
        <v>695</v>
      </c>
      <c r="D29" s="12"/>
      <c r="E29" s="3"/>
      <c r="F29" s="3"/>
      <c r="G29" s="3"/>
      <c r="H29" s="3"/>
      <c r="I29" s="3"/>
      <c r="J29" s="3"/>
    </row>
    <row r="30" spans="1:10" ht="30">
      <c r="A30" s="41" t="s">
        <v>452</v>
      </c>
      <c r="B30" s="42" t="s">
        <v>696</v>
      </c>
      <c r="C30" s="44" t="s">
        <v>697</v>
      </c>
      <c r="D30" s="12"/>
      <c r="E30" s="3"/>
      <c r="F30" s="3"/>
      <c r="G30" s="3"/>
      <c r="H30" s="3"/>
      <c r="I30" s="3"/>
      <c r="J30" s="3"/>
    </row>
    <row r="31" spans="1:10" ht="15">
      <c r="A31" s="37" t="s">
        <v>224</v>
      </c>
      <c r="B31" s="38"/>
      <c r="C31" s="39"/>
      <c r="D31" s="12"/>
      <c r="E31" s="3"/>
      <c r="F31" s="3"/>
      <c r="G31" s="3"/>
      <c r="H31" s="3"/>
      <c r="I31" s="3"/>
      <c r="J31" s="3"/>
    </row>
    <row r="32" spans="1:10" ht="30">
      <c r="A32" s="41" t="s">
        <v>227</v>
      </c>
      <c r="B32" s="42" t="s">
        <v>698</v>
      </c>
      <c r="C32" s="44" t="s">
        <v>699</v>
      </c>
      <c r="D32" s="12"/>
      <c r="E32" s="3"/>
      <c r="F32" s="3"/>
      <c r="G32" s="3"/>
      <c r="H32" s="3"/>
      <c r="I32" s="3"/>
      <c r="J32" s="3"/>
    </row>
    <row r="33" spans="1:10" ht="15">
      <c r="A33" s="41" t="s">
        <v>230</v>
      </c>
      <c r="B33" s="42" t="s">
        <v>700</v>
      </c>
      <c r="C33" s="44" t="s">
        <v>701</v>
      </c>
      <c r="D33" s="12"/>
      <c r="E33" s="3"/>
      <c r="F33" s="3"/>
      <c r="G33" s="3"/>
      <c r="H33" s="3"/>
      <c r="I33" s="3"/>
      <c r="J33" s="3"/>
    </row>
    <row r="34" spans="1:10" ht="15">
      <c r="A34" s="37" t="s">
        <v>235</v>
      </c>
      <c r="B34" s="38"/>
      <c r="C34" s="39"/>
      <c r="D34" s="12"/>
      <c r="E34" s="3"/>
      <c r="F34" s="3"/>
      <c r="G34" s="3"/>
      <c r="H34" s="3"/>
      <c r="I34" s="3"/>
      <c r="J34" s="3"/>
    </row>
    <row r="35" spans="1:10" ht="30">
      <c r="A35" s="41" t="s">
        <v>237</v>
      </c>
      <c r="B35" s="42" t="s">
        <v>702</v>
      </c>
      <c r="C35" s="44" t="s">
        <v>703</v>
      </c>
      <c r="D35" s="12"/>
      <c r="E35" s="3"/>
      <c r="F35" s="3"/>
      <c r="G35" s="3"/>
      <c r="H35" s="3"/>
      <c r="I35" s="3"/>
      <c r="J35" s="3"/>
    </row>
    <row r="36" spans="1:10" ht="30">
      <c r="A36" s="53" t="s">
        <v>240</v>
      </c>
      <c r="B36" s="55" t="s">
        <v>704</v>
      </c>
      <c r="C36" s="56" t="s">
        <v>705</v>
      </c>
      <c r="D36" s="12"/>
      <c r="E36" s="3"/>
      <c r="F36" s="3"/>
      <c r="G36" s="3"/>
      <c r="H36" s="3"/>
      <c r="I36" s="3"/>
      <c r="J36" s="3"/>
    </row>
    <row r="37" spans="1:10" ht="15">
      <c r="A37" s="12"/>
      <c r="B37" s="12"/>
      <c r="C37" s="12"/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  <row r="1005" spans="1:3" ht="13.2">
      <c r="A1005" s="59"/>
      <c r="B1005" s="60"/>
      <c r="C1005" s="60"/>
    </row>
    <row r="1006" spans="1:3" ht="13.2">
      <c r="A1006" s="59"/>
      <c r="B1006" s="60"/>
      <c r="C1006" s="60"/>
    </row>
    <row r="1007" spans="1:3" ht="13.2">
      <c r="A1007" s="59"/>
      <c r="B1007" s="60"/>
      <c r="C1007" s="60"/>
    </row>
    <row r="1008" spans="1:3" ht="13.2">
      <c r="A1008" s="59"/>
      <c r="B1008" s="60"/>
      <c r="C1008" s="6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3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3" ht="15.75" customHeight="1">
      <c r="A2" s="4" t="s">
        <v>10</v>
      </c>
      <c r="B2" s="4" t="s">
        <v>706</v>
      </c>
      <c r="C2" s="4" t="s">
        <v>707</v>
      </c>
      <c r="D2" s="4"/>
      <c r="E2" s="3"/>
      <c r="F2" s="3"/>
      <c r="G2" s="3"/>
      <c r="H2" s="3"/>
      <c r="I2" s="3"/>
      <c r="J2" s="3"/>
    </row>
    <row r="3" spans="1:13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3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3" ht="15.75" customHeight="1">
      <c r="A5" s="12" t="s">
        <v>623</v>
      </c>
      <c r="B5" s="12" t="s">
        <v>708</v>
      </c>
      <c r="C5" s="12"/>
      <c r="D5" s="12"/>
      <c r="E5" s="3"/>
      <c r="F5" s="3"/>
      <c r="G5" s="3"/>
      <c r="H5" s="3"/>
      <c r="I5" s="3"/>
      <c r="J5" s="3"/>
    </row>
    <row r="6" spans="1:13" ht="15.75" customHeight="1">
      <c r="A6" s="12" t="s">
        <v>709</v>
      </c>
      <c r="B6" s="12" t="s">
        <v>710</v>
      </c>
      <c r="C6" s="12"/>
      <c r="D6" s="12"/>
      <c r="E6" s="3"/>
      <c r="F6" s="3"/>
      <c r="G6" s="3"/>
      <c r="H6" s="3"/>
      <c r="I6" s="3"/>
      <c r="J6" s="3"/>
    </row>
    <row r="7" spans="1:13" ht="15.75" customHeight="1">
      <c r="A7" s="12" t="s">
        <v>711</v>
      </c>
      <c r="B7" s="12" t="s">
        <v>712</v>
      </c>
      <c r="C7" s="12"/>
      <c r="D7" s="12"/>
      <c r="E7" s="3"/>
      <c r="F7" s="3"/>
      <c r="G7" s="3"/>
      <c r="H7" s="3"/>
      <c r="I7" s="3"/>
      <c r="J7" s="3"/>
    </row>
    <row r="8" spans="1:13" ht="15.75" customHeight="1">
      <c r="A8" s="12" t="s">
        <v>713</v>
      </c>
      <c r="B8" s="12" t="s">
        <v>714</v>
      </c>
      <c r="C8" s="12"/>
      <c r="D8" s="12"/>
      <c r="E8" s="3"/>
      <c r="F8" s="3"/>
      <c r="G8" s="3"/>
      <c r="H8" s="3"/>
      <c r="I8" s="3"/>
      <c r="J8" s="3"/>
    </row>
    <row r="9" spans="1:13" ht="15.75" customHeight="1">
      <c r="A9" s="74" t="s">
        <v>715</v>
      </c>
      <c r="B9" s="74" t="s">
        <v>716</v>
      </c>
      <c r="C9" s="12"/>
      <c r="D9" s="12"/>
      <c r="E9" s="3"/>
      <c r="F9" s="3"/>
      <c r="G9" s="3"/>
      <c r="H9" s="3"/>
      <c r="I9" s="3"/>
      <c r="J9" s="3"/>
      <c r="K9" s="10"/>
      <c r="L9" s="10"/>
      <c r="M9" s="10"/>
    </row>
    <row r="10" spans="1:13" ht="15.75" customHeight="1">
      <c r="A10" s="12"/>
      <c r="B10" s="12"/>
      <c r="C10" s="12"/>
      <c r="D10" s="12"/>
      <c r="E10" s="3"/>
      <c r="F10" s="3"/>
      <c r="G10" s="3"/>
      <c r="H10" s="3"/>
      <c r="I10" s="3"/>
      <c r="J10" s="3"/>
      <c r="K10" s="10"/>
      <c r="L10" s="10"/>
      <c r="M10" s="10"/>
    </row>
    <row r="11" spans="1:13" ht="15.75" customHeight="1">
      <c r="A11" s="17" t="s">
        <v>54</v>
      </c>
      <c r="B11" s="17" t="s">
        <v>55</v>
      </c>
      <c r="C11" s="17" t="s">
        <v>57</v>
      </c>
      <c r="D11" s="12"/>
      <c r="E11" s="3"/>
      <c r="F11" s="3"/>
      <c r="G11" s="3"/>
      <c r="H11" s="3"/>
      <c r="I11" s="3"/>
      <c r="J11" s="3"/>
    </row>
    <row r="12" spans="1:13" ht="15.75" customHeight="1">
      <c r="A12" s="12" t="s">
        <v>717</v>
      </c>
      <c r="B12" s="12" t="s">
        <v>718</v>
      </c>
      <c r="C12" s="12" t="s">
        <v>719</v>
      </c>
      <c r="D12" s="12"/>
      <c r="E12" s="3"/>
      <c r="F12" s="3"/>
      <c r="G12" s="3"/>
      <c r="H12" s="3"/>
      <c r="I12" s="3"/>
      <c r="J12" s="3"/>
      <c r="K12" s="10"/>
      <c r="L12" s="10"/>
      <c r="M12" s="10"/>
    </row>
    <row r="13" spans="1:13" ht="15.75" customHeight="1">
      <c r="A13" s="12" t="s">
        <v>720</v>
      </c>
      <c r="B13" s="12" t="s">
        <v>721</v>
      </c>
      <c r="C13" s="12" t="s">
        <v>722</v>
      </c>
      <c r="D13" s="12"/>
      <c r="E13" s="3"/>
      <c r="F13" s="3"/>
      <c r="G13" s="3"/>
      <c r="H13" s="3"/>
      <c r="I13" s="3"/>
      <c r="J13" s="3"/>
      <c r="K13" s="10"/>
      <c r="L13" s="10"/>
      <c r="M13" s="10"/>
    </row>
    <row r="14" spans="1:13" ht="15.75" customHeight="1">
      <c r="A14" s="12" t="s">
        <v>723</v>
      </c>
      <c r="B14" s="12" t="s">
        <v>724</v>
      </c>
      <c r="C14" s="12" t="s">
        <v>725</v>
      </c>
      <c r="D14" s="12"/>
      <c r="E14" s="3"/>
      <c r="F14" s="3"/>
      <c r="G14" s="3"/>
      <c r="H14" s="3"/>
      <c r="I14" s="3"/>
      <c r="J14" s="3"/>
      <c r="K14" s="10"/>
      <c r="L14" s="10"/>
      <c r="M14" s="10"/>
    </row>
    <row r="15" spans="1:13" ht="15.75" customHeight="1">
      <c r="A15" s="12" t="s">
        <v>726</v>
      </c>
      <c r="B15" s="12" t="s">
        <v>727</v>
      </c>
      <c r="C15" s="12" t="s">
        <v>728</v>
      </c>
      <c r="D15" s="12"/>
      <c r="E15" s="3"/>
      <c r="F15" s="3"/>
      <c r="G15" s="3"/>
      <c r="H15" s="3"/>
      <c r="I15" s="3"/>
      <c r="J15" s="3"/>
      <c r="K15" s="10"/>
      <c r="L15" s="10"/>
      <c r="M15" s="10"/>
    </row>
    <row r="16" spans="1:13" ht="15.75" customHeight="1">
      <c r="A16" s="12" t="s">
        <v>729</v>
      </c>
      <c r="B16" s="12" t="s">
        <v>730</v>
      </c>
      <c r="C16" s="12" t="s">
        <v>731</v>
      </c>
      <c r="D16" s="12"/>
      <c r="E16" s="3"/>
      <c r="F16" s="3"/>
      <c r="G16" s="3"/>
      <c r="H16" s="3"/>
      <c r="I16" s="3"/>
      <c r="J16" s="3"/>
      <c r="K16" s="10"/>
      <c r="L16" s="10"/>
      <c r="M16" s="10"/>
    </row>
    <row r="17" spans="1:13" ht="15.75" customHeight="1">
      <c r="A17" s="12" t="s">
        <v>732</v>
      </c>
      <c r="B17" s="12" t="s">
        <v>733</v>
      </c>
      <c r="C17" s="12" t="s">
        <v>734</v>
      </c>
      <c r="D17" s="12"/>
      <c r="E17" s="3"/>
      <c r="F17" s="3"/>
      <c r="G17" s="3"/>
      <c r="H17" s="3"/>
      <c r="I17" s="3"/>
      <c r="J17" s="3"/>
      <c r="K17" s="10"/>
      <c r="L17" s="10"/>
      <c r="M17" s="10"/>
    </row>
    <row r="18" spans="1:13" ht="15.75" customHeight="1">
      <c r="A18" s="12" t="s">
        <v>735</v>
      </c>
      <c r="B18" s="12" t="s">
        <v>736</v>
      </c>
      <c r="C18" s="12" t="s">
        <v>737</v>
      </c>
      <c r="D18" s="12"/>
      <c r="E18" s="3"/>
      <c r="F18" s="3"/>
      <c r="G18" s="3"/>
      <c r="H18" s="3"/>
      <c r="I18" s="3"/>
      <c r="J18" s="3"/>
      <c r="M18" s="10"/>
    </row>
    <row r="19" spans="1:13" ht="15.75" customHeight="1">
      <c r="A19" s="12" t="s">
        <v>738</v>
      </c>
      <c r="B19" s="12" t="s">
        <v>739</v>
      </c>
      <c r="C19" s="12" t="s">
        <v>740</v>
      </c>
      <c r="D19" s="12"/>
      <c r="E19" s="3"/>
      <c r="F19" s="3"/>
      <c r="G19" s="3"/>
      <c r="H19" s="3"/>
      <c r="I19" s="3"/>
      <c r="J19" s="3"/>
      <c r="K19" s="10"/>
      <c r="L19" s="10"/>
      <c r="M19" s="10"/>
    </row>
    <row r="20" spans="1:13" ht="15.75" customHeight="1">
      <c r="A20" s="12" t="s">
        <v>741</v>
      </c>
      <c r="B20" s="12" t="s">
        <v>742</v>
      </c>
      <c r="C20" s="12" t="s">
        <v>743</v>
      </c>
      <c r="D20" s="12"/>
      <c r="E20" s="3"/>
      <c r="F20" s="3"/>
      <c r="G20" s="3"/>
      <c r="H20" s="3"/>
      <c r="I20" s="3"/>
      <c r="J20" s="3"/>
      <c r="K20" s="10"/>
      <c r="L20" s="10"/>
      <c r="M20" s="10"/>
    </row>
    <row r="21" spans="1:13" ht="15.75" customHeight="1">
      <c r="A21" s="12" t="s">
        <v>744</v>
      </c>
      <c r="B21" s="12" t="s">
        <v>745</v>
      </c>
      <c r="C21" s="12" t="s">
        <v>746</v>
      </c>
      <c r="D21" s="12"/>
      <c r="E21" s="3"/>
      <c r="F21" s="3"/>
      <c r="G21" s="3"/>
      <c r="H21" s="3"/>
      <c r="I21" s="3"/>
      <c r="J21" s="3"/>
      <c r="K21" s="10"/>
      <c r="L21" s="10"/>
      <c r="M21" s="10"/>
    </row>
    <row r="22" spans="1:13" ht="15.75" customHeight="1">
      <c r="A22" s="12" t="s">
        <v>747</v>
      </c>
      <c r="B22" s="12" t="s">
        <v>748</v>
      </c>
      <c r="C22" s="12" t="s">
        <v>749</v>
      </c>
      <c r="D22" s="12"/>
      <c r="E22" s="3"/>
      <c r="F22" s="3"/>
      <c r="G22" s="3"/>
      <c r="H22" s="3"/>
      <c r="I22" s="3"/>
      <c r="J22" s="3"/>
      <c r="K22" s="10"/>
      <c r="L22" s="10"/>
      <c r="M22" s="10"/>
    </row>
    <row r="23" spans="1:13" ht="15.75" customHeight="1">
      <c r="A23" s="12" t="s">
        <v>522</v>
      </c>
      <c r="B23" s="12" t="s">
        <v>750</v>
      </c>
      <c r="C23" s="12" t="s">
        <v>751</v>
      </c>
      <c r="D23" s="12"/>
      <c r="E23" s="3"/>
      <c r="F23" s="3"/>
      <c r="G23" s="3"/>
      <c r="H23" s="3"/>
      <c r="I23" s="3"/>
      <c r="J23" s="3"/>
    </row>
    <row r="24" spans="1:13" ht="15.75" customHeight="1">
      <c r="A24" s="32" t="s">
        <v>151</v>
      </c>
      <c r="B24" s="33" t="s">
        <v>169</v>
      </c>
      <c r="C24" s="35" t="s">
        <v>176</v>
      </c>
      <c r="D24" s="12"/>
      <c r="E24" s="3"/>
      <c r="F24" s="3"/>
      <c r="G24" s="3"/>
      <c r="H24" s="3"/>
      <c r="I24" s="3"/>
      <c r="J24" s="3"/>
    </row>
    <row r="25" spans="1:13" ht="15.75" customHeight="1">
      <c r="A25" s="37" t="s">
        <v>188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3" ht="15.75" customHeight="1">
      <c r="A26" s="41" t="s">
        <v>752</v>
      </c>
      <c r="B26" s="42" t="s">
        <v>246</v>
      </c>
      <c r="C26" s="44" t="s">
        <v>753</v>
      </c>
      <c r="D26" s="12"/>
      <c r="E26" s="3"/>
      <c r="F26" s="3"/>
      <c r="G26" s="3"/>
      <c r="H26" s="3"/>
      <c r="I26" s="3"/>
      <c r="J26" s="3"/>
    </row>
    <row r="27" spans="1:13" ht="15.75" customHeight="1">
      <c r="A27" s="41" t="s">
        <v>754</v>
      </c>
      <c r="B27" s="42" t="s">
        <v>755</v>
      </c>
      <c r="C27" s="44" t="s">
        <v>756</v>
      </c>
      <c r="D27" s="12"/>
      <c r="E27" s="3"/>
      <c r="F27" s="3"/>
      <c r="G27" s="3"/>
      <c r="H27" s="3"/>
      <c r="I27" s="3"/>
      <c r="J27" s="3"/>
    </row>
    <row r="28" spans="1:13" ht="15.75" customHeight="1">
      <c r="A28" s="41" t="s">
        <v>757</v>
      </c>
      <c r="B28" s="42" t="s">
        <v>758</v>
      </c>
      <c r="C28" s="44" t="s">
        <v>759</v>
      </c>
      <c r="D28" s="12"/>
      <c r="E28" s="3"/>
      <c r="F28" s="3"/>
      <c r="G28" s="3"/>
      <c r="H28" s="3"/>
      <c r="I28" s="3"/>
      <c r="J28" s="3"/>
    </row>
    <row r="29" spans="1:13" ht="15">
      <c r="A29" s="37" t="s">
        <v>203</v>
      </c>
      <c r="B29" s="38"/>
      <c r="C29" s="39"/>
      <c r="D29" s="12"/>
      <c r="E29" s="3"/>
      <c r="F29" s="3"/>
      <c r="G29" s="3"/>
      <c r="H29" s="3"/>
      <c r="I29" s="3"/>
      <c r="J29" s="3"/>
    </row>
    <row r="30" spans="1:13" ht="30">
      <c r="A30" s="41" t="s">
        <v>204</v>
      </c>
      <c r="B30" s="42" t="s">
        <v>760</v>
      </c>
      <c r="C30" s="44" t="s">
        <v>761</v>
      </c>
      <c r="D30" s="12"/>
      <c r="E30" s="3"/>
      <c r="F30" s="3"/>
      <c r="G30" s="3"/>
      <c r="H30" s="3"/>
      <c r="I30" s="3"/>
      <c r="J30" s="3"/>
    </row>
    <row r="31" spans="1:13" ht="30">
      <c r="A31" s="41" t="s">
        <v>209</v>
      </c>
      <c r="B31" s="42" t="s">
        <v>762</v>
      </c>
      <c r="C31" s="44" t="s">
        <v>763</v>
      </c>
      <c r="D31" s="12"/>
      <c r="E31" s="3"/>
      <c r="F31" s="3"/>
      <c r="G31" s="3"/>
      <c r="H31" s="3"/>
      <c r="I31" s="3"/>
      <c r="J31" s="3"/>
    </row>
    <row r="32" spans="1:13" ht="30">
      <c r="A32" s="41" t="s">
        <v>449</v>
      </c>
      <c r="B32" s="42" t="s">
        <v>764</v>
      </c>
      <c r="C32" s="44" t="s">
        <v>765</v>
      </c>
      <c r="D32" s="12"/>
      <c r="E32" s="3"/>
      <c r="F32" s="3"/>
      <c r="G32" s="3"/>
      <c r="H32" s="3"/>
      <c r="I32" s="3"/>
      <c r="J32" s="3"/>
    </row>
    <row r="33" spans="1:10" ht="30">
      <c r="A33" s="41" t="s">
        <v>452</v>
      </c>
      <c r="B33" s="42" t="s">
        <v>766</v>
      </c>
      <c r="C33" s="44" t="s">
        <v>767</v>
      </c>
      <c r="D33" s="12"/>
      <c r="E33" s="3"/>
      <c r="F33" s="3"/>
      <c r="G33" s="3"/>
      <c r="H33" s="3"/>
      <c r="I33" s="3"/>
      <c r="J33" s="3"/>
    </row>
    <row r="34" spans="1:10" ht="15">
      <c r="A34" s="37" t="s">
        <v>224</v>
      </c>
      <c r="B34" s="38"/>
      <c r="C34" s="39"/>
      <c r="D34" s="12"/>
      <c r="E34" s="3"/>
      <c r="F34" s="3"/>
      <c r="G34" s="3"/>
      <c r="H34" s="3"/>
      <c r="I34" s="3"/>
      <c r="J34" s="3"/>
    </row>
    <row r="35" spans="1:10" ht="15">
      <c r="A35" s="41" t="s">
        <v>227</v>
      </c>
      <c r="B35" s="42" t="s">
        <v>768</v>
      </c>
      <c r="C35" s="44" t="s">
        <v>769</v>
      </c>
      <c r="D35" s="12"/>
      <c r="E35" s="3"/>
      <c r="F35" s="3"/>
      <c r="G35" s="3"/>
      <c r="H35" s="3"/>
      <c r="I35" s="3"/>
      <c r="J35" s="3"/>
    </row>
    <row r="36" spans="1:10" ht="30">
      <c r="A36" s="41" t="s">
        <v>230</v>
      </c>
      <c r="B36" s="42" t="s">
        <v>770</v>
      </c>
      <c r="C36" s="44" t="s">
        <v>771</v>
      </c>
      <c r="D36" s="12"/>
      <c r="E36" s="3"/>
      <c r="F36" s="3"/>
      <c r="G36" s="3"/>
      <c r="H36" s="3"/>
      <c r="I36" s="3"/>
      <c r="J36" s="3"/>
    </row>
    <row r="37" spans="1:10" ht="15">
      <c r="A37" s="37" t="s">
        <v>235</v>
      </c>
      <c r="B37" s="38"/>
      <c r="C37" s="39"/>
      <c r="D37" s="12"/>
      <c r="E37" s="3"/>
      <c r="F37" s="3"/>
      <c r="G37" s="3"/>
      <c r="H37" s="3"/>
      <c r="I37" s="3"/>
      <c r="J37" s="3"/>
    </row>
    <row r="38" spans="1:10" ht="15">
      <c r="A38" s="41" t="s">
        <v>237</v>
      </c>
      <c r="B38" s="42" t="s">
        <v>773</v>
      </c>
      <c r="C38" s="44" t="s">
        <v>774</v>
      </c>
      <c r="D38" s="12"/>
      <c r="E38" s="3"/>
      <c r="F38" s="3"/>
      <c r="G38" s="3"/>
      <c r="H38" s="3"/>
      <c r="I38" s="3"/>
      <c r="J38" s="3"/>
    </row>
    <row r="39" spans="1:10" ht="15">
      <c r="A39" s="53" t="s">
        <v>240</v>
      </c>
      <c r="B39" s="55" t="s">
        <v>775</v>
      </c>
      <c r="C39" s="56" t="s">
        <v>776</v>
      </c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1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1" ht="15.75" customHeight="1">
      <c r="A2" s="4" t="s">
        <v>11</v>
      </c>
      <c r="B2" s="4" t="s">
        <v>772</v>
      </c>
      <c r="C2" s="4" t="s">
        <v>143</v>
      </c>
      <c r="D2" s="4"/>
      <c r="E2" s="3"/>
      <c r="F2" s="3"/>
      <c r="G2" s="3"/>
      <c r="H2" s="3"/>
      <c r="I2" s="3"/>
      <c r="J2" s="3"/>
    </row>
    <row r="3" spans="1:11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1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1" ht="15.75" customHeight="1">
      <c r="A5" s="12" t="s">
        <v>777</v>
      </c>
      <c r="B5" s="12" t="s">
        <v>778</v>
      </c>
      <c r="C5" s="12"/>
      <c r="D5" s="12"/>
      <c r="E5" s="3"/>
      <c r="F5" s="3"/>
      <c r="G5" s="3"/>
      <c r="H5" s="3"/>
      <c r="I5" s="3"/>
      <c r="J5" s="3"/>
    </row>
    <row r="6" spans="1:11" ht="15.75" customHeight="1">
      <c r="A6" s="12" t="s">
        <v>779</v>
      </c>
      <c r="B6" s="12" t="s">
        <v>780</v>
      </c>
      <c r="C6" s="12"/>
      <c r="D6" s="12"/>
      <c r="E6" s="3"/>
      <c r="F6" s="3"/>
      <c r="G6" s="3"/>
      <c r="H6" s="3"/>
      <c r="I6" s="3"/>
      <c r="J6" s="3"/>
    </row>
    <row r="7" spans="1:11" ht="15.75" customHeight="1">
      <c r="A7" s="12" t="s">
        <v>781</v>
      </c>
      <c r="B7" s="12" t="s">
        <v>782</v>
      </c>
      <c r="C7" s="12"/>
      <c r="D7" s="12"/>
      <c r="E7" s="3"/>
      <c r="F7" s="3"/>
      <c r="G7" s="3"/>
      <c r="H7" s="3"/>
      <c r="I7" s="3"/>
      <c r="J7" s="3"/>
    </row>
    <row r="8" spans="1:11" ht="15.75" customHeight="1">
      <c r="A8" s="12" t="s">
        <v>783</v>
      </c>
      <c r="B8" s="12" t="s">
        <v>784</v>
      </c>
      <c r="C8" s="12"/>
      <c r="D8" s="12"/>
      <c r="E8" s="3"/>
      <c r="F8" s="3"/>
      <c r="G8" s="3"/>
      <c r="H8" s="3"/>
      <c r="I8" s="3"/>
      <c r="J8" s="3"/>
    </row>
    <row r="9" spans="1:11" ht="15.75" customHeight="1">
      <c r="A9" s="74" t="s">
        <v>785</v>
      </c>
      <c r="B9" s="74" t="s">
        <v>786</v>
      </c>
      <c r="C9" s="12"/>
      <c r="D9" s="12"/>
      <c r="E9" s="3"/>
      <c r="F9" s="3"/>
      <c r="G9" s="3"/>
      <c r="H9" s="3"/>
      <c r="I9" s="3"/>
      <c r="J9" s="3"/>
    </row>
    <row r="10" spans="1:11" ht="15.75" customHeight="1">
      <c r="A10" s="74" t="s">
        <v>787</v>
      </c>
      <c r="B10" s="74" t="s">
        <v>788</v>
      </c>
      <c r="C10" s="12"/>
      <c r="D10" s="12"/>
      <c r="E10" s="3"/>
      <c r="F10" s="3"/>
      <c r="G10" s="3"/>
      <c r="H10" s="3"/>
      <c r="I10" s="3"/>
      <c r="J10" s="3"/>
    </row>
    <row r="11" spans="1:11" ht="15.75" customHeight="1">
      <c r="A11" s="12"/>
      <c r="B11" s="12"/>
      <c r="C11" s="12"/>
      <c r="D11" s="12"/>
      <c r="E11" s="3"/>
      <c r="F11" s="3"/>
      <c r="G11" s="3"/>
      <c r="H11" s="3"/>
      <c r="I11" s="3"/>
      <c r="J11" s="3"/>
      <c r="K11" s="10"/>
    </row>
    <row r="12" spans="1:11" ht="15.75" customHeight="1">
      <c r="A12" s="17" t="s">
        <v>54</v>
      </c>
      <c r="B12" s="17" t="s">
        <v>55</v>
      </c>
      <c r="C12" s="17" t="s">
        <v>57</v>
      </c>
      <c r="D12" s="12"/>
      <c r="E12" s="3"/>
      <c r="F12" s="3"/>
      <c r="G12" s="3"/>
      <c r="H12" s="3"/>
      <c r="I12" s="3"/>
      <c r="J12" s="3"/>
    </row>
    <row r="13" spans="1:11" ht="15.75" customHeight="1">
      <c r="A13" s="12" t="s">
        <v>789</v>
      </c>
      <c r="B13" s="12" t="s">
        <v>790</v>
      </c>
      <c r="C13" s="12" t="s">
        <v>791</v>
      </c>
      <c r="D13" s="12"/>
      <c r="E13" s="3"/>
      <c r="F13" s="3"/>
      <c r="G13" s="3"/>
      <c r="H13" s="3"/>
      <c r="I13" s="3"/>
      <c r="J13" s="3"/>
      <c r="K13" s="10"/>
    </row>
    <row r="14" spans="1:11" ht="15.75" customHeight="1">
      <c r="A14" s="12" t="s">
        <v>792</v>
      </c>
      <c r="B14" s="12" t="s">
        <v>793</v>
      </c>
      <c r="C14" s="12" t="s">
        <v>794</v>
      </c>
      <c r="D14" s="12"/>
      <c r="E14" s="3"/>
      <c r="F14" s="3"/>
      <c r="G14" s="3"/>
      <c r="H14" s="3"/>
      <c r="I14" s="3"/>
      <c r="J14" s="3"/>
    </row>
    <row r="15" spans="1:11" ht="15.75" customHeight="1">
      <c r="A15" s="12" t="s">
        <v>795</v>
      </c>
      <c r="B15" s="12" t="s">
        <v>796</v>
      </c>
      <c r="C15" s="12" t="s">
        <v>797</v>
      </c>
      <c r="D15" s="12"/>
      <c r="E15" s="3"/>
      <c r="F15" s="3"/>
      <c r="G15" s="3"/>
      <c r="H15" s="3"/>
      <c r="I15" s="3"/>
      <c r="J15" s="3"/>
      <c r="K15" s="10"/>
    </row>
    <row r="16" spans="1:11" ht="15.75" customHeight="1">
      <c r="A16" s="12" t="s">
        <v>798</v>
      </c>
      <c r="B16" s="12" t="s">
        <v>799</v>
      </c>
      <c r="C16" s="12" t="s">
        <v>800</v>
      </c>
      <c r="D16" s="12"/>
      <c r="E16" s="3"/>
      <c r="F16" s="3"/>
      <c r="G16" s="3"/>
      <c r="H16" s="3"/>
      <c r="I16" s="3"/>
      <c r="J16" s="3"/>
      <c r="K16" s="10"/>
    </row>
    <row r="17" spans="1:11" ht="15.75" customHeight="1">
      <c r="A17" s="12" t="s">
        <v>801</v>
      </c>
      <c r="B17" s="12" t="s">
        <v>802</v>
      </c>
      <c r="C17" s="12" t="s">
        <v>803</v>
      </c>
      <c r="D17" s="12"/>
      <c r="E17" s="3"/>
      <c r="F17" s="3"/>
      <c r="G17" s="3"/>
      <c r="H17" s="3"/>
      <c r="I17" s="3"/>
      <c r="J17" s="3"/>
      <c r="K17" s="10"/>
    </row>
    <row r="18" spans="1:11" ht="15.75" customHeight="1">
      <c r="A18" s="12" t="s">
        <v>804</v>
      </c>
      <c r="B18" s="12" t="s">
        <v>805</v>
      </c>
      <c r="C18" s="12" t="s">
        <v>806</v>
      </c>
      <c r="D18" s="12"/>
      <c r="E18" s="3"/>
      <c r="F18" s="3"/>
      <c r="G18" s="3"/>
      <c r="H18" s="3"/>
      <c r="I18" s="3"/>
      <c r="J18" s="3"/>
      <c r="K18" s="10"/>
    </row>
    <row r="19" spans="1:11" ht="15.75" customHeight="1">
      <c r="A19" s="12" t="s">
        <v>807</v>
      </c>
      <c r="B19" s="12" t="s">
        <v>808</v>
      </c>
      <c r="C19" s="12" t="s">
        <v>809</v>
      </c>
      <c r="D19" s="12"/>
      <c r="E19" s="3"/>
      <c r="F19" s="3"/>
      <c r="G19" s="3"/>
      <c r="H19" s="3"/>
      <c r="I19" s="3"/>
      <c r="J19" s="3"/>
      <c r="K19" s="10"/>
    </row>
    <row r="20" spans="1:11" ht="15.75" customHeight="1">
      <c r="A20" s="12" t="s">
        <v>644</v>
      </c>
      <c r="B20" s="12" t="s">
        <v>810</v>
      </c>
      <c r="C20" s="12" t="s">
        <v>811</v>
      </c>
      <c r="D20" s="12"/>
      <c r="E20" s="3"/>
      <c r="F20" s="3"/>
      <c r="G20" s="3"/>
      <c r="H20" s="3"/>
      <c r="I20" s="3"/>
      <c r="J20" s="3"/>
      <c r="K20" s="10"/>
    </row>
    <row r="21" spans="1:11" ht="15.75" customHeight="1">
      <c r="A21" s="12" t="s">
        <v>812</v>
      </c>
      <c r="B21" s="12" t="s">
        <v>813</v>
      </c>
      <c r="C21" s="12" t="s">
        <v>814</v>
      </c>
      <c r="D21" s="12"/>
      <c r="E21" s="3"/>
      <c r="F21" s="3"/>
      <c r="G21" s="3"/>
      <c r="H21" s="3"/>
      <c r="I21" s="3"/>
      <c r="J21" s="3"/>
      <c r="K21" s="10"/>
    </row>
    <row r="22" spans="1:11" ht="15.75" customHeight="1">
      <c r="A22" s="12" t="s">
        <v>815</v>
      </c>
      <c r="B22" s="12" t="s">
        <v>785</v>
      </c>
      <c r="C22" s="12" t="s">
        <v>816</v>
      </c>
      <c r="D22" s="12"/>
      <c r="E22" s="3"/>
      <c r="F22" s="3"/>
      <c r="G22" s="3"/>
      <c r="H22" s="3"/>
      <c r="I22" s="3"/>
      <c r="J22" s="3"/>
      <c r="K22" s="10"/>
    </row>
    <row r="23" spans="1:11" ht="15.75" customHeight="1">
      <c r="A23" s="12" t="s">
        <v>817</v>
      </c>
      <c r="B23" s="12" t="s">
        <v>818</v>
      </c>
      <c r="C23" s="12" t="s">
        <v>819</v>
      </c>
      <c r="D23" s="12"/>
      <c r="E23" s="3"/>
      <c r="F23" s="3"/>
      <c r="G23" s="3"/>
      <c r="H23" s="3"/>
      <c r="I23" s="3"/>
      <c r="J23" s="3"/>
      <c r="K23" s="10"/>
    </row>
    <row r="24" spans="1:11" ht="15.75" customHeight="1">
      <c r="A24" s="12" t="s">
        <v>821</v>
      </c>
      <c r="B24" s="12" t="s">
        <v>823</v>
      </c>
      <c r="C24" s="12" t="s">
        <v>824</v>
      </c>
      <c r="D24" s="12"/>
      <c r="E24" s="3"/>
      <c r="F24" s="3"/>
      <c r="G24" s="3"/>
      <c r="H24" s="3"/>
      <c r="I24" s="3"/>
      <c r="J24" s="3"/>
    </row>
    <row r="25" spans="1:11" ht="15.75" customHeight="1">
      <c r="A25" s="12" t="s">
        <v>825</v>
      </c>
      <c r="B25" s="12" t="s">
        <v>826</v>
      </c>
      <c r="C25" s="12" t="s">
        <v>827</v>
      </c>
      <c r="D25" s="12"/>
      <c r="E25" s="3"/>
      <c r="F25" s="3"/>
      <c r="G25" s="3"/>
      <c r="H25" s="3"/>
      <c r="I25" s="3"/>
      <c r="J25" s="3"/>
    </row>
    <row r="26" spans="1:11" ht="15.75" customHeight="1">
      <c r="A26" s="32" t="s">
        <v>151</v>
      </c>
      <c r="B26" s="33" t="s">
        <v>169</v>
      </c>
      <c r="C26" s="35" t="s">
        <v>176</v>
      </c>
      <c r="D26" s="12"/>
      <c r="E26" s="3"/>
      <c r="F26" s="3"/>
      <c r="G26" s="3"/>
      <c r="H26" s="3"/>
      <c r="I26" s="3"/>
      <c r="J26" s="3"/>
    </row>
    <row r="27" spans="1:11" ht="15.75" customHeight="1">
      <c r="A27" s="37" t="s">
        <v>188</v>
      </c>
      <c r="B27" s="38"/>
      <c r="C27" s="39"/>
      <c r="D27" s="12"/>
      <c r="E27" s="3"/>
      <c r="F27" s="3"/>
      <c r="G27" s="3"/>
      <c r="H27" s="3"/>
      <c r="I27" s="3"/>
      <c r="J27" s="3"/>
    </row>
    <row r="28" spans="1:11" ht="15.75" customHeight="1">
      <c r="A28" s="41" t="s">
        <v>833</v>
      </c>
      <c r="B28" s="42" t="s">
        <v>834</v>
      </c>
      <c r="C28" s="44" t="s">
        <v>835</v>
      </c>
      <c r="D28" s="12"/>
      <c r="E28" s="3"/>
      <c r="F28" s="3"/>
      <c r="G28" s="3"/>
      <c r="H28" s="3"/>
      <c r="I28" s="3"/>
      <c r="J28" s="3"/>
    </row>
    <row r="29" spans="1:11" ht="30">
      <c r="A29" s="41" t="s">
        <v>836</v>
      </c>
      <c r="B29" s="42" t="s">
        <v>837</v>
      </c>
      <c r="C29" s="44" t="s">
        <v>838</v>
      </c>
      <c r="D29" s="12"/>
      <c r="E29" s="3"/>
      <c r="F29" s="3"/>
      <c r="G29" s="3"/>
      <c r="H29" s="3"/>
      <c r="I29" s="3"/>
      <c r="J29" s="3"/>
    </row>
    <row r="30" spans="1:11" ht="30">
      <c r="A30" s="41" t="s">
        <v>841</v>
      </c>
      <c r="B30" s="42" t="s">
        <v>842</v>
      </c>
      <c r="C30" s="44" t="s">
        <v>843</v>
      </c>
      <c r="D30" s="12"/>
      <c r="E30" s="3"/>
      <c r="F30" s="3"/>
      <c r="G30" s="3"/>
      <c r="H30" s="3"/>
      <c r="I30" s="3"/>
      <c r="J30" s="3"/>
    </row>
    <row r="31" spans="1:11" ht="15">
      <c r="A31" s="37" t="s">
        <v>203</v>
      </c>
      <c r="B31" s="38"/>
      <c r="C31" s="39"/>
      <c r="D31" s="12"/>
      <c r="E31" s="3"/>
      <c r="F31" s="3"/>
      <c r="G31" s="3"/>
      <c r="H31" s="3"/>
      <c r="I31" s="3"/>
      <c r="J31" s="3"/>
    </row>
    <row r="32" spans="1:11" ht="15">
      <c r="A32" s="41" t="s">
        <v>204</v>
      </c>
      <c r="B32" s="42" t="s">
        <v>848</v>
      </c>
      <c r="C32" s="44" t="s">
        <v>850</v>
      </c>
      <c r="D32" s="12"/>
      <c r="E32" s="3"/>
      <c r="F32" s="3"/>
      <c r="G32" s="3"/>
      <c r="H32" s="3"/>
      <c r="I32" s="3"/>
      <c r="J32" s="3"/>
    </row>
    <row r="33" spans="1:10" ht="30">
      <c r="A33" s="41" t="s">
        <v>443</v>
      </c>
      <c r="B33" s="42" t="s">
        <v>852</v>
      </c>
      <c r="C33" s="44" t="s">
        <v>853</v>
      </c>
      <c r="D33" s="12"/>
      <c r="E33" s="3"/>
      <c r="F33" s="3"/>
      <c r="G33" s="3"/>
      <c r="H33" s="3"/>
      <c r="I33" s="3"/>
      <c r="J33" s="3"/>
    </row>
    <row r="34" spans="1:10" ht="15">
      <c r="A34" s="41" t="s">
        <v>446</v>
      </c>
      <c r="B34" s="42" t="s">
        <v>856</v>
      </c>
      <c r="C34" s="44" t="s">
        <v>857</v>
      </c>
      <c r="D34" s="12"/>
      <c r="E34" s="3"/>
      <c r="F34" s="3"/>
      <c r="G34" s="3"/>
      <c r="H34" s="3"/>
      <c r="I34" s="3"/>
      <c r="J34" s="3"/>
    </row>
    <row r="35" spans="1:10" ht="30">
      <c r="A35" s="41" t="s">
        <v>449</v>
      </c>
      <c r="B35" s="42" t="s">
        <v>861</v>
      </c>
      <c r="C35" s="44" t="s">
        <v>862</v>
      </c>
      <c r="D35" s="12"/>
      <c r="E35" s="3"/>
      <c r="F35" s="3"/>
      <c r="G35" s="3"/>
      <c r="H35" s="3"/>
      <c r="I35" s="3"/>
      <c r="J35" s="3"/>
    </row>
    <row r="36" spans="1:10" ht="30">
      <c r="A36" s="41" t="s">
        <v>452</v>
      </c>
      <c r="B36" s="42" t="s">
        <v>866</v>
      </c>
      <c r="C36" s="44" t="s">
        <v>867</v>
      </c>
      <c r="D36" s="12"/>
      <c r="E36" s="3"/>
      <c r="F36" s="3"/>
      <c r="G36" s="3"/>
      <c r="H36" s="3"/>
      <c r="I36" s="3"/>
      <c r="J36" s="3"/>
    </row>
    <row r="37" spans="1:10" ht="15">
      <c r="A37" s="37" t="s">
        <v>224</v>
      </c>
      <c r="B37" s="38"/>
      <c r="C37" s="39"/>
      <c r="D37" s="12"/>
      <c r="E37" s="3"/>
      <c r="F37" s="3"/>
      <c r="G37" s="3"/>
      <c r="H37" s="3"/>
      <c r="I37" s="3"/>
      <c r="J37" s="3"/>
    </row>
    <row r="38" spans="1:10" ht="15">
      <c r="A38" s="41" t="s">
        <v>227</v>
      </c>
      <c r="B38" s="42" t="s">
        <v>871</v>
      </c>
      <c r="C38" s="44" t="s">
        <v>872</v>
      </c>
      <c r="D38" s="12"/>
      <c r="E38" s="3"/>
      <c r="F38" s="3"/>
      <c r="G38" s="3"/>
      <c r="H38" s="3"/>
      <c r="I38" s="3"/>
      <c r="J38" s="3"/>
    </row>
    <row r="39" spans="1:10" ht="15">
      <c r="A39" s="41" t="s">
        <v>230</v>
      </c>
      <c r="B39" s="42" t="s">
        <v>873</v>
      </c>
      <c r="C39" s="44" t="s">
        <v>874</v>
      </c>
      <c r="D39" s="12"/>
      <c r="E39" s="3"/>
      <c r="F39" s="3"/>
      <c r="G39" s="3"/>
      <c r="H39" s="3"/>
      <c r="I39" s="3"/>
      <c r="J39" s="3"/>
    </row>
    <row r="40" spans="1:10" ht="15">
      <c r="A40" s="37" t="s">
        <v>235</v>
      </c>
      <c r="B40" s="38"/>
      <c r="C40" s="39"/>
      <c r="D40" s="12"/>
      <c r="E40" s="3"/>
      <c r="F40" s="3"/>
      <c r="G40" s="3"/>
      <c r="H40" s="3"/>
      <c r="I40" s="3"/>
      <c r="J40" s="3"/>
    </row>
    <row r="41" spans="1:10" ht="30">
      <c r="A41" s="41" t="s">
        <v>237</v>
      </c>
      <c r="B41" s="42" t="s">
        <v>877</v>
      </c>
      <c r="C41" s="44" t="s">
        <v>878</v>
      </c>
      <c r="D41" s="12"/>
      <c r="E41" s="3"/>
      <c r="F41" s="3"/>
      <c r="G41" s="3"/>
      <c r="H41" s="3"/>
      <c r="I41" s="3"/>
      <c r="J41" s="3"/>
    </row>
    <row r="42" spans="1:10" ht="30">
      <c r="A42" s="53" t="s">
        <v>240</v>
      </c>
      <c r="B42" s="55" t="s">
        <v>879</v>
      </c>
      <c r="C42" s="56" t="s">
        <v>880</v>
      </c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  <row r="1004" spans="1:3" ht="13.2">
      <c r="A1004" s="59"/>
      <c r="B1004" s="60"/>
      <c r="C1004" s="6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12</v>
      </c>
      <c r="B2" s="4" t="s">
        <v>820</v>
      </c>
      <c r="C2" s="4" t="s">
        <v>822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777</v>
      </c>
      <c r="B5" s="12" t="s">
        <v>828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829</v>
      </c>
      <c r="B6" s="12" t="s">
        <v>830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831</v>
      </c>
      <c r="B7" s="12" t="s">
        <v>832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/>
      <c r="B8" s="12"/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17" t="s">
        <v>54</v>
      </c>
      <c r="B9" s="17" t="s">
        <v>55</v>
      </c>
      <c r="C9" s="17" t="s">
        <v>57</v>
      </c>
      <c r="D9" s="12"/>
      <c r="E9" s="3"/>
      <c r="F9" s="3"/>
      <c r="G9" s="3"/>
      <c r="H9" s="3"/>
      <c r="I9" s="3"/>
      <c r="J9" s="3"/>
    </row>
    <row r="10" spans="1:10" ht="15.75" customHeight="1">
      <c r="A10" s="12" t="s">
        <v>498</v>
      </c>
      <c r="B10" s="12" t="s">
        <v>839</v>
      </c>
      <c r="C10" s="12" t="s">
        <v>840</v>
      </c>
      <c r="D10" s="12"/>
      <c r="E10" s="3"/>
      <c r="F10" s="3"/>
      <c r="G10" s="3"/>
      <c r="H10" s="3"/>
      <c r="I10" s="3"/>
      <c r="J10" s="3"/>
    </row>
    <row r="11" spans="1:10" ht="15.75" customHeight="1">
      <c r="A11" s="12" t="s">
        <v>844</v>
      </c>
      <c r="B11" s="12" t="s">
        <v>845</v>
      </c>
      <c r="C11" s="12" t="s">
        <v>846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847</v>
      </c>
      <c r="B12" s="12" t="s">
        <v>849</v>
      </c>
      <c r="C12" s="12" t="s">
        <v>851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510</v>
      </c>
      <c r="B13" s="12" t="s">
        <v>854</v>
      </c>
      <c r="C13" s="12" t="s">
        <v>855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858</v>
      </c>
      <c r="B14" s="12" t="s">
        <v>859</v>
      </c>
      <c r="C14" s="12" t="s">
        <v>860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863</v>
      </c>
      <c r="B15" s="12" t="s">
        <v>864</v>
      </c>
      <c r="C15" s="12" t="s">
        <v>865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868</v>
      </c>
      <c r="B16" s="12" t="s">
        <v>869</v>
      </c>
      <c r="C16" s="12" t="s">
        <v>870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/>
      <c r="B17" s="12"/>
      <c r="C17" s="12"/>
      <c r="D17" s="12"/>
      <c r="E17" s="3"/>
      <c r="F17" s="3"/>
      <c r="G17" s="3"/>
      <c r="H17" s="3"/>
      <c r="I17" s="3"/>
      <c r="J17" s="3"/>
    </row>
    <row r="18" spans="1:10" ht="15.75" customHeight="1">
      <c r="A18" s="17" t="s">
        <v>151</v>
      </c>
      <c r="B18" s="17" t="s">
        <v>169</v>
      </c>
      <c r="C18" s="17" t="s">
        <v>176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204</v>
      </c>
      <c r="B19" s="12" t="s">
        <v>875</v>
      </c>
      <c r="C19" s="12" t="s">
        <v>876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32" t="s">
        <v>151</v>
      </c>
      <c r="B20" s="33" t="s">
        <v>169</v>
      </c>
      <c r="C20" s="35" t="s">
        <v>176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37" t="s">
        <v>188</v>
      </c>
      <c r="B21" s="38"/>
      <c r="C21" s="39"/>
      <c r="D21" s="12"/>
      <c r="E21" s="3"/>
      <c r="F21" s="3"/>
      <c r="G21" s="3"/>
      <c r="H21" s="3"/>
      <c r="I21" s="3"/>
      <c r="J21" s="3"/>
    </row>
    <row r="22" spans="1:10" ht="15.75" customHeight="1">
      <c r="A22" s="41" t="s">
        <v>881</v>
      </c>
      <c r="B22" s="42" t="s">
        <v>882</v>
      </c>
      <c r="C22" s="44" t="s">
        <v>883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41" t="s">
        <v>884</v>
      </c>
      <c r="B23" s="42" t="s">
        <v>885</v>
      </c>
      <c r="C23" s="44" t="s">
        <v>886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37" t="s">
        <v>203</v>
      </c>
      <c r="B24" s="38"/>
      <c r="C24" s="39"/>
      <c r="D24" s="12"/>
      <c r="E24" s="3"/>
      <c r="F24" s="3"/>
      <c r="G24" s="3"/>
      <c r="H24" s="3"/>
      <c r="I24" s="3"/>
      <c r="J24" s="3"/>
    </row>
    <row r="25" spans="1:10" ht="15.75" customHeight="1">
      <c r="A25" s="41" t="s">
        <v>204</v>
      </c>
      <c r="B25" s="42" t="s">
        <v>887</v>
      </c>
      <c r="C25" s="44" t="s">
        <v>876</v>
      </c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209</v>
      </c>
      <c r="B26" s="42" t="s">
        <v>888</v>
      </c>
      <c r="C26" s="44" t="s">
        <v>889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449</v>
      </c>
      <c r="B27" s="42" t="s">
        <v>890</v>
      </c>
      <c r="C27" s="44" t="s">
        <v>891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452</v>
      </c>
      <c r="B28" s="42" t="s">
        <v>892</v>
      </c>
      <c r="C28" s="44" t="s">
        <v>893</v>
      </c>
      <c r="D28" s="12"/>
      <c r="E28" s="3"/>
      <c r="F28" s="3"/>
      <c r="G28" s="3"/>
      <c r="H28" s="3"/>
      <c r="I28" s="3"/>
      <c r="J28" s="3"/>
    </row>
    <row r="29" spans="1:10" ht="15">
      <c r="A29" s="37" t="s">
        <v>224</v>
      </c>
      <c r="B29" s="38"/>
      <c r="C29" s="39"/>
      <c r="D29" s="12"/>
      <c r="E29" s="3"/>
      <c r="F29" s="3"/>
      <c r="G29" s="3"/>
      <c r="H29" s="3"/>
      <c r="I29" s="3"/>
      <c r="J29" s="3"/>
    </row>
    <row r="30" spans="1:10" ht="30">
      <c r="A30" s="41" t="s">
        <v>227</v>
      </c>
      <c r="B30" s="42" t="s">
        <v>894</v>
      </c>
      <c r="C30" s="44" t="s">
        <v>895</v>
      </c>
      <c r="D30" s="12"/>
      <c r="E30" s="3"/>
      <c r="F30" s="3"/>
      <c r="G30" s="3"/>
      <c r="H30" s="3"/>
      <c r="I30" s="3"/>
      <c r="J30" s="3"/>
    </row>
    <row r="31" spans="1:10" ht="15">
      <c r="A31" s="41" t="s">
        <v>230</v>
      </c>
      <c r="B31" s="42" t="s">
        <v>896</v>
      </c>
      <c r="C31" s="44" t="s">
        <v>897</v>
      </c>
      <c r="D31" s="12"/>
      <c r="E31" s="3"/>
      <c r="F31" s="3"/>
      <c r="G31" s="3"/>
      <c r="H31" s="3"/>
      <c r="I31" s="3"/>
      <c r="J31" s="3"/>
    </row>
    <row r="32" spans="1:10" ht="15">
      <c r="A32" s="37" t="s">
        <v>235</v>
      </c>
      <c r="B32" s="38"/>
      <c r="C32" s="39"/>
      <c r="D32" s="12"/>
      <c r="E32" s="3"/>
      <c r="F32" s="3"/>
      <c r="G32" s="3"/>
      <c r="H32" s="3"/>
      <c r="I32" s="3"/>
      <c r="J32" s="3"/>
    </row>
    <row r="33" spans="1:10" ht="30">
      <c r="A33" s="41" t="s">
        <v>237</v>
      </c>
      <c r="B33" s="42" t="s">
        <v>898</v>
      </c>
      <c r="C33" s="44" t="s">
        <v>899</v>
      </c>
      <c r="D33" s="12"/>
      <c r="E33" s="3"/>
      <c r="F33" s="3"/>
      <c r="G33" s="3"/>
      <c r="H33" s="3"/>
      <c r="I33" s="3"/>
      <c r="J33" s="3"/>
    </row>
    <row r="34" spans="1:10" ht="15">
      <c r="A34" s="53" t="s">
        <v>240</v>
      </c>
      <c r="B34" s="55" t="s">
        <v>900</v>
      </c>
      <c r="C34" s="56" t="s">
        <v>901</v>
      </c>
      <c r="D34" s="12"/>
      <c r="E34" s="3"/>
      <c r="F34" s="3"/>
      <c r="G34" s="3"/>
      <c r="H34" s="3"/>
      <c r="I34" s="3"/>
      <c r="J34" s="3"/>
    </row>
    <row r="35" spans="1:10" ht="15">
      <c r="A35" s="12"/>
      <c r="B35" s="12"/>
      <c r="C35" s="12"/>
      <c r="D35" s="12"/>
      <c r="E35" s="3"/>
      <c r="F35" s="3"/>
      <c r="G35" s="3"/>
      <c r="H35" s="3"/>
      <c r="I35" s="3"/>
      <c r="J35" s="3"/>
    </row>
    <row r="36" spans="1:10" ht="15">
      <c r="A36" s="12"/>
      <c r="B36" s="12"/>
      <c r="C36" s="12"/>
      <c r="D36" s="12"/>
      <c r="E36" s="3"/>
      <c r="F36" s="3"/>
      <c r="G36" s="3"/>
      <c r="H36" s="3"/>
      <c r="I36" s="3"/>
      <c r="J36" s="3"/>
    </row>
    <row r="37" spans="1:10" ht="15">
      <c r="A37" s="12"/>
      <c r="B37" s="12"/>
      <c r="C37" s="12"/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13</v>
      </c>
      <c r="B2" s="4" t="s">
        <v>902</v>
      </c>
      <c r="C2" s="4" t="s">
        <v>903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904</v>
      </c>
      <c r="B5" s="12" t="s">
        <v>905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906</v>
      </c>
      <c r="B6" s="12" t="s">
        <v>907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908</v>
      </c>
      <c r="B7" s="12" t="s">
        <v>909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910</v>
      </c>
      <c r="B8" s="12" t="s">
        <v>911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 t="s">
        <v>347</v>
      </c>
      <c r="B9" s="74" t="s">
        <v>912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78"/>
      <c r="B10" s="12"/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17" t="s">
        <v>54</v>
      </c>
      <c r="B11" s="17" t="s">
        <v>55</v>
      </c>
      <c r="C11" s="17" t="s">
        <v>57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913</v>
      </c>
      <c r="B12" s="12" t="s">
        <v>914</v>
      </c>
      <c r="C12" s="12" t="s">
        <v>915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916</v>
      </c>
      <c r="B13" s="12" t="s">
        <v>917</v>
      </c>
      <c r="C13" s="12" t="s">
        <v>918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498</v>
      </c>
      <c r="B14" s="12" t="s">
        <v>919</v>
      </c>
      <c r="C14" s="12" t="s">
        <v>920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921</v>
      </c>
      <c r="B15" s="12" t="s">
        <v>922</v>
      </c>
      <c r="C15" s="12" t="s">
        <v>923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924</v>
      </c>
      <c r="B16" s="12" t="s">
        <v>925</v>
      </c>
      <c r="C16" s="12" t="s">
        <v>926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927</v>
      </c>
      <c r="B17" s="12" t="s">
        <v>928</v>
      </c>
      <c r="C17" s="12" t="s">
        <v>929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930</v>
      </c>
      <c r="B18" s="12" t="s">
        <v>931</v>
      </c>
      <c r="C18" s="12" t="s">
        <v>932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933</v>
      </c>
      <c r="B19" s="12" t="s">
        <v>934</v>
      </c>
      <c r="C19" s="12" t="s">
        <v>935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12" t="s">
        <v>936</v>
      </c>
      <c r="B20" s="12" t="s">
        <v>937</v>
      </c>
      <c r="C20" s="12" t="s">
        <v>938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12" t="s">
        <v>939</v>
      </c>
      <c r="B21" s="12" t="s">
        <v>940</v>
      </c>
      <c r="C21" s="12" t="s">
        <v>941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32" t="s">
        <v>151</v>
      </c>
      <c r="B22" s="33" t="s">
        <v>169</v>
      </c>
      <c r="C22" s="35" t="s">
        <v>176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37" t="s">
        <v>188</v>
      </c>
      <c r="B23" s="38"/>
      <c r="C23" s="39"/>
      <c r="D23" s="12"/>
      <c r="E23" s="3"/>
      <c r="F23" s="3"/>
      <c r="G23" s="3"/>
      <c r="H23" s="3"/>
      <c r="I23" s="3"/>
      <c r="J23" s="3"/>
    </row>
    <row r="24" spans="1:10" ht="15.75" customHeight="1">
      <c r="A24" s="41" t="s">
        <v>942</v>
      </c>
      <c r="B24" s="42" t="s">
        <v>943</v>
      </c>
      <c r="C24" s="44" t="s">
        <v>944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41" t="s">
        <v>945</v>
      </c>
      <c r="B25" s="42" t="s">
        <v>946</v>
      </c>
      <c r="C25" s="44" t="s">
        <v>947</v>
      </c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948</v>
      </c>
      <c r="B26" s="42" t="s">
        <v>949</v>
      </c>
      <c r="C26" s="44" t="s">
        <v>950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37" t="s">
        <v>203</v>
      </c>
      <c r="B27" s="38"/>
      <c r="C27" s="39"/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204</v>
      </c>
      <c r="B28" s="42" t="s">
        <v>951</v>
      </c>
      <c r="C28" s="44" t="s">
        <v>952</v>
      </c>
      <c r="D28" s="12"/>
      <c r="E28" s="3"/>
      <c r="F28" s="3"/>
      <c r="G28" s="3"/>
      <c r="H28" s="3"/>
      <c r="I28" s="3"/>
      <c r="J28" s="3"/>
    </row>
    <row r="29" spans="1:10" ht="30">
      <c r="A29" s="41" t="s">
        <v>443</v>
      </c>
      <c r="B29" s="42" t="s">
        <v>953</v>
      </c>
      <c r="C29" s="44" t="s">
        <v>954</v>
      </c>
      <c r="D29" s="12"/>
      <c r="E29" s="3"/>
      <c r="F29" s="3"/>
      <c r="G29" s="3"/>
      <c r="H29" s="3"/>
      <c r="I29" s="3"/>
      <c r="J29" s="3"/>
    </row>
    <row r="30" spans="1:10" ht="30">
      <c r="A30" s="41" t="s">
        <v>446</v>
      </c>
      <c r="B30" s="42" t="s">
        <v>955</v>
      </c>
      <c r="C30" s="44" t="s">
        <v>956</v>
      </c>
      <c r="D30" s="12"/>
      <c r="E30" s="3"/>
      <c r="F30" s="3"/>
      <c r="G30" s="3"/>
      <c r="H30" s="3"/>
      <c r="I30" s="3"/>
      <c r="J30" s="3"/>
    </row>
    <row r="31" spans="1:10" ht="30">
      <c r="A31" s="41" t="s">
        <v>668</v>
      </c>
      <c r="B31" s="42" t="s">
        <v>957</v>
      </c>
      <c r="C31" s="44" t="s">
        <v>958</v>
      </c>
      <c r="D31" s="12"/>
      <c r="E31" s="3"/>
      <c r="F31" s="3"/>
      <c r="G31" s="3"/>
      <c r="H31" s="3"/>
      <c r="I31" s="3"/>
      <c r="J31" s="3"/>
    </row>
    <row r="32" spans="1:10" ht="15">
      <c r="A32" s="37" t="s">
        <v>224</v>
      </c>
      <c r="B32" s="38"/>
      <c r="C32" s="39"/>
      <c r="D32" s="12"/>
      <c r="E32" s="3"/>
      <c r="F32" s="3"/>
      <c r="G32" s="3"/>
      <c r="H32" s="3"/>
      <c r="I32" s="3"/>
      <c r="J32" s="3"/>
    </row>
    <row r="33" spans="1:10" ht="30">
      <c r="A33" s="41" t="s">
        <v>227</v>
      </c>
      <c r="B33" s="42" t="s">
        <v>959</v>
      </c>
      <c r="C33" s="44" t="s">
        <v>960</v>
      </c>
      <c r="D33" s="12"/>
      <c r="E33" s="3"/>
      <c r="F33" s="3"/>
      <c r="G33" s="3"/>
      <c r="H33" s="3"/>
      <c r="I33" s="3"/>
      <c r="J33" s="3"/>
    </row>
    <row r="34" spans="1:10" ht="15">
      <c r="A34" s="41" t="s">
        <v>230</v>
      </c>
      <c r="B34" s="42" t="s">
        <v>961</v>
      </c>
      <c r="C34" s="44" t="s">
        <v>962</v>
      </c>
      <c r="D34" s="12"/>
      <c r="E34" s="3"/>
      <c r="F34" s="3"/>
      <c r="G34" s="3"/>
      <c r="H34" s="3"/>
      <c r="I34" s="3"/>
      <c r="J34" s="3"/>
    </row>
    <row r="35" spans="1:10" ht="15">
      <c r="A35" s="37" t="s">
        <v>235</v>
      </c>
      <c r="B35" s="38"/>
      <c r="C35" s="39"/>
      <c r="D35" s="12"/>
      <c r="E35" s="3"/>
      <c r="F35" s="3"/>
      <c r="G35" s="3"/>
      <c r="H35" s="3"/>
      <c r="I35" s="3"/>
      <c r="J35" s="3"/>
    </row>
    <row r="36" spans="1:10" ht="30">
      <c r="A36" s="41" t="s">
        <v>237</v>
      </c>
      <c r="B36" s="42" t="s">
        <v>963</v>
      </c>
      <c r="C36" s="44" t="s">
        <v>964</v>
      </c>
      <c r="D36" s="12"/>
      <c r="E36" s="3"/>
      <c r="F36" s="3"/>
      <c r="G36" s="3"/>
      <c r="H36" s="3"/>
      <c r="I36" s="3"/>
      <c r="J36" s="3"/>
    </row>
    <row r="37" spans="1:10" ht="15">
      <c r="A37" s="53" t="s">
        <v>240</v>
      </c>
      <c r="B37" s="55" t="s">
        <v>965</v>
      </c>
      <c r="C37" s="56" t="s">
        <v>966</v>
      </c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16</v>
      </c>
      <c r="B2" s="4" t="s">
        <v>967</v>
      </c>
      <c r="C2" s="4" t="s">
        <v>968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829</v>
      </c>
      <c r="B5" s="12" t="s">
        <v>969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970</v>
      </c>
      <c r="B6" s="12" t="s">
        <v>971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972</v>
      </c>
      <c r="B7" s="12" t="s">
        <v>973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 t="s">
        <v>974</v>
      </c>
      <c r="B8" s="12" t="s">
        <v>975</v>
      </c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74" t="s">
        <v>976</v>
      </c>
      <c r="B9" s="74" t="s">
        <v>977</v>
      </c>
      <c r="C9" s="12"/>
      <c r="D9" s="12"/>
      <c r="E9" s="3"/>
      <c r="F9" s="3"/>
      <c r="G9" s="3"/>
      <c r="H9" s="3"/>
      <c r="I9" s="3"/>
      <c r="J9" s="3"/>
    </row>
    <row r="10" spans="1:10" ht="15.75" customHeight="1">
      <c r="A10" s="12"/>
      <c r="B10" s="12"/>
      <c r="C10" s="12"/>
      <c r="D10" s="12"/>
      <c r="E10" s="3"/>
      <c r="F10" s="3"/>
      <c r="G10" s="3"/>
      <c r="H10" s="3"/>
      <c r="I10" s="3"/>
      <c r="J10" s="3"/>
    </row>
    <row r="11" spans="1:10" ht="15.75" customHeight="1">
      <c r="A11" s="17" t="s">
        <v>54</v>
      </c>
      <c r="B11" s="17" t="s">
        <v>55</v>
      </c>
      <c r="C11" s="17" t="s">
        <v>57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978</v>
      </c>
      <c r="B12" s="12" t="s">
        <v>979</v>
      </c>
      <c r="C12" s="12" t="s">
        <v>980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981</v>
      </c>
      <c r="B13" s="12" t="s">
        <v>982</v>
      </c>
      <c r="C13" s="12" t="s">
        <v>983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984</v>
      </c>
      <c r="B14" s="12" t="s">
        <v>985</v>
      </c>
      <c r="C14" s="12" t="s">
        <v>986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 t="s">
        <v>987</v>
      </c>
      <c r="B15" s="12" t="s">
        <v>988</v>
      </c>
      <c r="C15" s="12" t="s">
        <v>989</v>
      </c>
      <c r="D15" s="12"/>
      <c r="E15" s="3"/>
      <c r="F15" s="3"/>
      <c r="G15" s="3"/>
      <c r="H15" s="3"/>
      <c r="I15" s="3"/>
      <c r="J15" s="3"/>
    </row>
    <row r="16" spans="1:10" ht="15.75" customHeight="1">
      <c r="A16" s="12" t="s">
        <v>510</v>
      </c>
      <c r="B16" s="12" t="s">
        <v>990</v>
      </c>
      <c r="C16" s="12" t="s">
        <v>991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858</v>
      </c>
      <c r="B17" s="12" t="s">
        <v>992</v>
      </c>
      <c r="C17" s="12" t="s">
        <v>993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863</v>
      </c>
      <c r="B18" s="12" t="s">
        <v>994</v>
      </c>
      <c r="C18" s="12" t="s">
        <v>995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996</v>
      </c>
      <c r="B19" s="12" t="s">
        <v>997</v>
      </c>
      <c r="C19" s="12" t="s">
        <v>998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32" t="s">
        <v>151</v>
      </c>
      <c r="B20" s="33" t="s">
        <v>169</v>
      </c>
      <c r="C20" s="35" t="s">
        <v>176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37" t="s">
        <v>188</v>
      </c>
      <c r="B21" s="38"/>
      <c r="C21" s="39"/>
      <c r="D21" s="12"/>
      <c r="E21" s="3"/>
      <c r="F21" s="3"/>
      <c r="G21" s="3"/>
      <c r="H21" s="3"/>
      <c r="I21" s="3"/>
      <c r="J21" s="3"/>
    </row>
    <row r="22" spans="1:10" ht="15.75" customHeight="1">
      <c r="A22" s="41" t="s">
        <v>999</v>
      </c>
      <c r="B22" s="42" t="s">
        <v>1000</v>
      </c>
      <c r="C22" s="44" t="s">
        <v>1001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41" t="s">
        <v>1002</v>
      </c>
      <c r="B23" s="42" t="s">
        <v>1003</v>
      </c>
      <c r="C23" s="44" t="s">
        <v>1004</v>
      </c>
      <c r="D23" s="12"/>
      <c r="E23" s="3"/>
      <c r="F23" s="3"/>
      <c r="G23" s="3"/>
      <c r="H23" s="3"/>
      <c r="I23" s="3"/>
      <c r="J23" s="3"/>
    </row>
    <row r="24" spans="1:10" ht="15.75" customHeight="1">
      <c r="A24" s="41" t="s">
        <v>1005</v>
      </c>
      <c r="B24" s="42" t="s">
        <v>1006</v>
      </c>
      <c r="C24" s="44" t="s">
        <v>1007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37" t="s">
        <v>203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204</v>
      </c>
      <c r="B26" s="42" t="s">
        <v>1008</v>
      </c>
      <c r="C26" s="44" t="s">
        <v>1009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443</v>
      </c>
      <c r="B27" s="42" t="s">
        <v>1010</v>
      </c>
      <c r="C27" s="44" t="s">
        <v>1011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41" t="s">
        <v>446</v>
      </c>
      <c r="B28" s="42" t="s">
        <v>1012</v>
      </c>
      <c r="C28" s="44" t="s">
        <v>1013</v>
      </c>
      <c r="D28" s="12"/>
      <c r="E28" s="3"/>
      <c r="F28" s="3"/>
      <c r="G28" s="3"/>
      <c r="H28" s="3"/>
      <c r="I28" s="3"/>
      <c r="J28" s="3"/>
    </row>
    <row r="29" spans="1:10" ht="30">
      <c r="A29" s="41" t="s">
        <v>449</v>
      </c>
      <c r="B29" s="42" t="s">
        <v>1014</v>
      </c>
      <c r="C29" s="44" t="s">
        <v>1015</v>
      </c>
      <c r="D29" s="12"/>
      <c r="E29" s="3"/>
      <c r="F29" s="3"/>
      <c r="G29" s="3"/>
      <c r="H29" s="3"/>
      <c r="I29" s="3"/>
      <c r="J29" s="3"/>
    </row>
    <row r="30" spans="1:10" ht="15">
      <c r="A30" s="41" t="s">
        <v>452</v>
      </c>
      <c r="B30" s="42" t="s">
        <v>1016</v>
      </c>
      <c r="C30" s="44" t="s">
        <v>1017</v>
      </c>
      <c r="D30" s="12"/>
      <c r="E30" s="3"/>
      <c r="F30" s="3"/>
      <c r="G30" s="3"/>
      <c r="H30" s="3"/>
      <c r="I30" s="3"/>
      <c r="J30" s="3"/>
    </row>
    <row r="31" spans="1:10" ht="15">
      <c r="A31" s="37" t="s">
        <v>224</v>
      </c>
      <c r="B31" s="38"/>
      <c r="C31" s="39"/>
      <c r="D31" s="12"/>
      <c r="E31" s="3"/>
      <c r="F31" s="3"/>
      <c r="G31" s="3"/>
      <c r="H31" s="3"/>
      <c r="I31" s="3"/>
      <c r="J31" s="3"/>
    </row>
    <row r="32" spans="1:10" ht="15">
      <c r="A32" s="41" t="s">
        <v>227</v>
      </c>
      <c r="B32" s="42" t="s">
        <v>1018</v>
      </c>
      <c r="C32" s="44" t="s">
        <v>1019</v>
      </c>
      <c r="D32" s="12"/>
      <c r="E32" s="3"/>
      <c r="F32" s="3"/>
      <c r="G32" s="3"/>
      <c r="H32" s="3"/>
      <c r="I32" s="3"/>
      <c r="J32" s="3"/>
    </row>
    <row r="33" spans="1:10" ht="30">
      <c r="A33" s="41" t="s">
        <v>230</v>
      </c>
      <c r="B33" s="42" t="s">
        <v>1020</v>
      </c>
      <c r="C33" s="44" t="s">
        <v>1021</v>
      </c>
      <c r="D33" s="12"/>
      <c r="E33" s="3"/>
      <c r="F33" s="3"/>
      <c r="G33" s="3"/>
      <c r="H33" s="3"/>
      <c r="I33" s="3"/>
      <c r="J33" s="3"/>
    </row>
    <row r="34" spans="1:10" ht="15">
      <c r="A34" s="37" t="s">
        <v>235</v>
      </c>
      <c r="B34" s="38"/>
      <c r="C34" s="39"/>
      <c r="D34" s="12"/>
      <c r="E34" s="3"/>
      <c r="F34" s="3"/>
      <c r="G34" s="3"/>
      <c r="H34" s="3"/>
      <c r="I34" s="3"/>
      <c r="J34" s="3"/>
    </row>
    <row r="35" spans="1:10" ht="30">
      <c r="A35" s="41" t="s">
        <v>237</v>
      </c>
      <c r="B35" s="42" t="s">
        <v>1022</v>
      </c>
      <c r="C35" s="44" t="s">
        <v>1023</v>
      </c>
      <c r="D35" s="12"/>
      <c r="E35" s="3"/>
      <c r="F35" s="3"/>
      <c r="G35" s="3"/>
      <c r="H35" s="3"/>
      <c r="I35" s="3"/>
      <c r="J35" s="3"/>
    </row>
    <row r="36" spans="1:10" ht="15">
      <c r="A36" s="53" t="s">
        <v>240</v>
      </c>
      <c r="B36" s="55" t="s">
        <v>1024</v>
      </c>
      <c r="C36" s="56" t="s">
        <v>1025</v>
      </c>
      <c r="D36" s="12"/>
      <c r="E36" s="3"/>
      <c r="F36" s="3"/>
      <c r="G36" s="3"/>
      <c r="H36" s="3"/>
      <c r="I36" s="3"/>
      <c r="J36" s="3"/>
    </row>
    <row r="37" spans="1:10" ht="15">
      <c r="A37" s="12"/>
      <c r="B37" s="12"/>
      <c r="C37" s="12"/>
      <c r="D37" s="12"/>
      <c r="E37" s="3"/>
      <c r="F37" s="3"/>
      <c r="G37" s="3"/>
      <c r="H37" s="3"/>
      <c r="I37" s="3"/>
      <c r="J37" s="3"/>
    </row>
    <row r="38" spans="1:10" ht="15">
      <c r="A38" s="12"/>
      <c r="B38" s="12"/>
      <c r="C38" s="12"/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3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3">
      <c r="A1" s="79" t="s">
        <v>0</v>
      </c>
      <c r="B1" s="79" t="s">
        <v>2</v>
      </c>
      <c r="C1" s="79" t="s">
        <v>3</v>
      </c>
    </row>
    <row r="2" spans="1:3">
      <c r="A2" s="59" t="s">
        <v>17</v>
      </c>
      <c r="B2" s="59" t="s">
        <v>1026</v>
      </c>
      <c r="C2" s="59" t="s">
        <v>1027</v>
      </c>
    </row>
    <row r="3" spans="1:3">
      <c r="A3" s="59"/>
      <c r="B3" s="59"/>
      <c r="C3" s="59"/>
    </row>
    <row r="4" spans="1:3">
      <c r="A4" s="80" t="s">
        <v>39</v>
      </c>
      <c r="B4" s="80" t="s">
        <v>41</v>
      </c>
      <c r="C4" s="80"/>
    </row>
    <row r="5" spans="1:3">
      <c r="A5" s="59" t="s">
        <v>1028</v>
      </c>
      <c r="B5" s="59" t="s">
        <v>1029</v>
      </c>
      <c r="C5" s="59"/>
    </row>
    <row r="6" spans="1:3">
      <c r="A6" s="59" t="s">
        <v>1030</v>
      </c>
      <c r="B6" s="59" t="s">
        <v>1031</v>
      </c>
      <c r="C6" s="59"/>
    </row>
    <row r="7" spans="1:3">
      <c r="A7" s="59" t="s">
        <v>1032</v>
      </c>
      <c r="B7" s="59" t="s">
        <v>1033</v>
      </c>
      <c r="C7" s="59"/>
    </row>
    <row r="8" spans="1:3">
      <c r="A8" s="59"/>
      <c r="B8" s="59"/>
      <c r="C8" s="59"/>
    </row>
    <row r="9" spans="1:3">
      <c r="A9" s="80" t="s">
        <v>54</v>
      </c>
      <c r="B9" s="80" t="s">
        <v>55</v>
      </c>
      <c r="C9" s="80" t="s">
        <v>57</v>
      </c>
    </row>
    <row r="10" spans="1:3">
      <c r="A10" s="59" t="s">
        <v>1034</v>
      </c>
      <c r="B10" s="59" t="s">
        <v>1035</v>
      </c>
      <c r="C10" s="59" t="s">
        <v>1036</v>
      </c>
    </row>
    <row r="11" spans="1:3">
      <c r="A11" s="59" t="s">
        <v>1037</v>
      </c>
      <c r="B11" s="59" t="s">
        <v>1038</v>
      </c>
      <c r="C11" s="59" t="s">
        <v>1039</v>
      </c>
    </row>
    <row r="12" spans="1:3">
      <c r="A12" s="59" t="s">
        <v>1040</v>
      </c>
      <c r="B12" s="59" t="s">
        <v>1041</v>
      </c>
      <c r="C12" s="59" t="s">
        <v>1042</v>
      </c>
    </row>
    <row r="13" spans="1:3">
      <c r="A13" s="59" t="s">
        <v>1043</v>
      </c>
      <c r="B13" s="59" t="s">
        <v>1044</v>
      </c>
      <c r="C13" s="59" t="s">
        <v>1045</v>
      </c>
    </row>
    <row r="14" spans="1:3">
      <c r="A14" s="59" t="s">
        <v>1046</v>
      </c>
      <c r="B14" s="59" t="s">
        <v>1047</v>
      </c>
      <c r="C14" s="59" t="s">
        <v>1048</v>
      </c>
    </row>
    <row r="15" spans="1:3">
      <c r="A15" s="59"/>
      <c r="B15" s="59"/>
      <c r="C15" s="59"/>
    </row>
    <row r="16" spans="1:3">
      <c r="A16" s="32" t="s">
        <v>151</v>
      </c>
      <c r="B16" s="33" t="s">
        <v>169</v>
      </c>
      <c r="C16" s="35" t="s">
        <v>176</v>
      </c>
    </row>
    <row r="17" spans="1:3">
      <c r="A17" s="37" t="s">
        <v>188</v>
      </c>
      <c r="B17" s="38" t="s">
        <v>1049</v>
      </c>
      <c r="C17" s="39" t="s">
        <v>1049</v>
      </c>
    </row>
    <row r="18" spans="1:3">
      <c r="A18" s="81" t="s">
        <v>1050</v>
      </c>
      <c r="B18" s="82" t="s">
        <v>1051</v>
      </c>
      <c r="C18" s="83" t="s">
        <v>1052</v>
      </c>
    </row>
    <row r="19" spans="1:3">
      <c r="A19" s="81" t="s">
        <v>1053</v>
      </c>
      <c r="B19" s="82" t="s">
        <v>1054</v>
      </c>
      <c r="C19" s="83" t="s">
        <v>1055</v>
      </c>
    </row>
    <row r="20" spans="1:3">
      <c r="A20" s="81" t="s">
        <v>1056</v>
      </c>
      <c r="B20" s="82" t="s">
        <v>1057</v>
      </c>
      <c r="C20" s="83" t="s">
        <v>1058</v>
      </c>
    </row>
    <row r="21" spans="1:3">
      <c r="A21" s="37" t="s">
        <v>203</v>
      </c>
      <c r="B21" s="38" t="s">
        <v>1049</v>
      </c>
      <c r="C21" s="39" t="s">
        <v>1049</v>
      </c>
    </row>
    <row r="22" spans="1:3">
      <c r="A22" s="81" t="s">
        <v>204</v>
      </c>
      <c r="B22" s="82" t="s">
        <v>1059</v>
      </c>
      <c r="C22" s="83" t="s">
        <v>1060</v>
      </c>
    </row>
    <row r="23" spans="1:3">
      <c r="A23" s="81" t="s">
        <v>209</v>
      </c>
      <c r="B23" s="82" t="s">
        <v>1061</v>
      </c>
      <c r="C23" s="83" t="s">
        <v>1062</v>
      </c>
    </row>
    <row r="24" spans="1:3">
      <c r="A24" s="81" t="s">
        <v>668</v>
      </c>
      <c r="B24" s="82" t="s">
        <v>1063</v>
      </c>
      <c r="C24" s="83" t="s">
        <v>1064</v>
      </c>
    </row>
    <row r="25" spans="1:3">
      <c r="A25" s="37" t="s">
        <v>224</v>
      </c>
      <c r="B25" s="38" t="s">
        <v>1049</v>
      </c>
      <c r="C25" s="39" t="s">
        <v>1049</v>
      </c>
    </row>
    <row r="26" spans="1:3">
      <c r="A26" s="81" t="s">
        <v>227</v>
      </c>
      <c r="B26" s="82" t="s">
        <v>1065</v>
      </c>
      <c r="C26" s="83" t="s">
        <v>1066</v>
      </c>
    </row>
    <row r="27" spans="1:3">
      <c r="A27" s="81" t="s">
        <v>230</v>
      </c>
      <c r="B27" s="82" t="s">
        <v>1067</v>
      </c>
      <c r="C27" s="83" t="s">
        <v>1068</v>
      </c>
    </row>
    <row r="28" spans="1:3">
      <c r="A28" s="37" t="s">
        <v>235</v>
      </c>
      <c r="B28" s="38" t="s">
        <v>1049</v>
      </c>
      <c r="C28" s="39" t="s">
        <v>1049</v>
      </c>
    </row>
    <row r="29" spans="1:3">
      <c r="A29" s="81" t="s">
        <v>237</v>
      </c>
      <c r="B29" s="82" t="s">
        <v>1069</v>
      </c>
      <c r="C29" s="83" t="s">
        <v>1070</v>
      </c>
    </row>
    <row r="30" spans="1:3">
      <c r="A30" s="84" t="s">
        <v>240</v>
      </c>
      <c r="B30" s="85" t="s">
        <v>1073</v>
      </c>
      <c r="C30" s="86" t="s">
        <v>1074</v>
      </c>
    </row>
    <row r="31" spans="1:3">
      <c r="A31" s="59"/>
      <c r="B31" s="59"/>
      <c r="C31" s="59"/>
    </row>
    <row r="32" spans="1:3">
      <c r="A32" s="59"/>
      <c r="B32" s="59"/>
      <c r="C32" s="59"/>
    </row>
    <row r="33" spans="1:3">
      <c r="A33" s="59"/>
      <c r="B33" s="59"/>
      <c r="C33" s="59"/>
    </row>
    <row r="34" spans="1:3">
      <c r="A34" s="59"/>
      <c r="B34" s="59"/>
      <c r="C34" s="59"/>
    </row>
    <row r="35" spans="1:3">
      <c r="A35" s="59"/>
      <c r="B35" s="59"/>
      <c r="C35" s="5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3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3">
      <c r="A1" s="79" t="s">
        <v>0</v>
      </c>
      <c r="B1" s="79" t="s">
        <v>2</v>
      </c>
      <c r="C1" s="79" t="s">
        <v>3</v>
      </c>
    </row>
    <row r="2" spans="1:3">
      <c r="A2" s="59" t="s">
        <v>18</v>
      </c>
      <c r="B2" s="59" t="s">
        <v>1071</v>
      </c>
      <c r="C2" s="59" t="s">
        <v>1072</v>
      </c>
    </row>
    <row r="3" spans="1:3">
      <c r="A3" s="59"/>
      <c r="B3" s="59"/>
      <c r="C3" s="59"/>
    </row>
    <row r="4" spans="1:3">
      <c r="A4" s="80" t="s">
        <v>39</v>
      </c>
      <c r="B4" s="80" t="s">
        <v>41</v>
      </c>
      <c r="C4" s="80"/>
    </row>
    <row r="5" spans="1:3">
      <c r="A5" s="59" t="s">
        <v>1075</v>
      </c>
      <c r="B5" s="59" t="s">
        <v>1076</v>
      </c>
      <c r="C5" s="59"/>
    </row>
    <row r="6" spans="1:3">
      <c r="A6" s="59" t="s">
        <v>1077</v>
      </c>
      <c r="B6" s="59" t="s">
        <v>1078</v>
      </c>
      <c r="C6" s="59"/>
    </row>
    <row r="7" spans="1:3">
      <c r="A7" s="59" t="s">
        <v>1079</v>
      </c>
      <c r="B7" s="59" t="s">
        <v>1080</v>
      </c>
      <c r="C7" s="59"/>
    </row>
    <row r="8" spans="1:3">
      <c r="A8" s="59"/>
      <c r="B8" s="59"/>
      <c r="C8" s="59"/>
    </row>
    <row r="9" spans="1:3">
      <c r="A9" s="80" t="s">
        <v>54</v>
      </c>
      <c r="B9" s="80" t="s">
        <v>55</v>
      </c>
      <c r="C9" s="80" t="s">
        <v>57</v>
      </c>
    </row>
    <row r="10" spans="1:3">
      <c r="A10" s="59" t="s">
        <v>1081</v>
      </c>
      <c r="B10" s="59" t="s">
        <v>1075</v>
      </c>
      <c r="C10" s="59" t="s">
        <v>1082</v>
      </c>
    </row>
    <row r="11" spans="1:3">
      <c r="A11" s="59" t="s">
        <v>1083</v>
      </c>
      <c r="B11" s="59" t="s">
        <v>1084</v>
      </c>
      <c r="C11" s="59" t="s">
        <v>1085</v>
      </c>
    </row>
    <row r="12" spans="1:3">
      <c r="A12" s="59" t="s">
        <v>1086</v>
      </c>
      <c r="B12" s="59" t="s">
        <v>1079</v>
      </c>
      <c r="C12" s="59" t="s">
        <v>1087</v>
      </c>
    </row>
    <row r="13" spans="1:3">
      <c r="A13" s="59" t="s">
        <v>1088</v>
      </c>
      <c r="B13" s="59" t="s">
        <v>1089</v>
      </c>
      <c r="C13" s="59" t="s">
        <v>1090</v>
      </c>
    </row>
    <row r="14" spans="1:3">
      <c r="A14" s="59"/>
      <c r="B14" s="59"/>
      <c r="C14" s="59"/>
    </row>
    <row r="15" spans="1:3">
      <c r="A15" s="32" t="s">
        <v>151</v>
      </c>
      <c r="B15" s="33" t="s">
        <v>169</v>
      </c>
      <c r="C15" s="35" t="s">
        <v>176</v>
      </c>
    </row>
    <row r="16" spans="1:3">
      <c r="A16" s="37" t="s">
        <v>188</v>
      </c>
      <c r="B16" s="38" t="s">
        <v>1049</v>
      </c>
      <c r="C16" s="39" t="s">
        <v>1049</v>
      </c>
    </row>
    <row r="17" spans="1:3">
      <c r="A17" s="81" t="s">
        <v>1097</v>
      </c>
      <c r="B17" s="82" t="s">
        <v>1100</v>
      </c>
      <c r="C17" s="83" t="s">
        <v>1101</v>
      </c>
    </row>
    <row r="18" spans="1:3">
      <c r="A18" s="81" t="s">
        <v>1104</v>
      </c>
      <c r="B18" s="82" t="s">
        <v>1106</v>
      </c>
      <c r="C18" s="83" t="s">
        <v>1108</v>
      </c>
    </row>
    <row r="19" spans="1:3">
      <c r="A19" s="81" t="s">
        <v>1111</v>
      </c>
      <c r="B19" s="82" t="s">
        <v>1113</v>
      </c>
      <c r="C19" s="83" t="s">
        <v>1115</v>
      </c>
    </row>
    <row r="20" spans="1:3">
      <c r="A20" s="37" t="s">
        <v>203</v>
      </c>
      <c r="B20" s="38" t="s">
        <v>1049</v>
      </c>
      <c r="C20" s="39" t="s">
        <v>1049</v>
      </c>
    </row>
    <row r="21" spans="1:3">
      <c r="A21" s="81" t="s">
        <v>204</v>
      </c>
      <c r="B21" s="82" t="s">
        <v>1120</v>
      </c>
      <c r="C21" s="83" t="s">
        <v>1121</v>
      </c>
    </row>
    <row r="22" spans="1:3">
      <c r="A22" s="81" t="s">
        <v>209</v>
      </c>
      <c r="B22" s="82" t="s">
        <v>1122</v>
      </c>
      <c r="C22" s="83" t="s">
        <v>1123</v>
      </c>
    </row>
    <row r="23" spans="1:3">
      <c r="A23" s="81" t="s">
        <v>668</v>
      </c>
      <c r="B23" s="82" t="s">
        <v>1124</v>
      </c>
      <c r="C23" s="83" t="s">
        <v>1125</v>
      </c>
    </row>
    <row r="24" spans="1:3">
      <c r="A24" s="37" t="s">
        <v>224</v>
      </c>
      <c r="B24" s="38" t="s">
        <v>1049</v>
      </c>
      <c r="C24" s="39" t="s">
        <v>1049</v>
      </c>
    </row>
    <row r="25" spans="1:3">
      <c r="A25" s="81" t="s">
        <v>227</v>
      </c>
      <c r="B25" s="82" t="s">
        <v>1126</v>
      </c>
      <c r="C25" s="83" t="s">
        <v>1127</v>
      </c>
    </row>
    <row r="26" spans="1:3">
      <c r="A26" s="81" t="s">
        <v>230</v>
      </c>
      <c r="B26" s="82" t="s">
        <v>1128</v>
      </c>
      <c r="C26" s="83" t="s">
        <v>1130</v>
      </c>
    </row>
    <row r="27" spans="1:3">
      <c r="A27" s="37" t="s">
        <v>235</v>
      </c>
      <c r="B27" s="38" t="s">
        <v>1049</v>
      </c>
      <c r="C27" s="39" t="s">
        <v>1049</v>
      </c>
    </row>
    <row r="28" spans="1:3">
      <c r="A28" s="81" t="s">
        <v>237</v>
      </c>
      <c r="B28" s="82" t="s">
        <v>1133</v>
      </c>
      <c r="C28" s="83" t="s">
        <v>1135</v>
      </c>
    </row>
    <row r="29" spans="1:3">
      <c r="A29" s="84" t="s">
        <v>240</v>
      </c>
      <c r="B29" s="85" t="s">
        <v>1141</v>
      </c>
      <c r="C29" s="86" t="s">
        <v>1143</v>
      </c>
    </row>
    <row r="30" spans="1:3">
      <c r="A30" s="59"/>
      <c r="B30" s="59"/>
      <c r="C30" s="59"/>
    </row>
    <row r="31" spans="1:3">
      <c r="A31" s="59"/>
      <c r="B31" s="59"/>
      <c r="C31" s="59"/>
    </row>
    <row r="32" spans="1:3">
      <c r="A32" s="59"/>
      <c r="B32" s="59"/>
      <c r="C32" s="59"/>
    </row>
    <row r="33" spans="1:3">
      <c r="A33" s="59"/>
      <c r="B33" s="59"/>
      <c r="C33" s="59"/>
    </row>
    <row r="34" spans="1:3">
      <c r="A34" s="59"/>
      <c r="B34" s="59"/>
      <c r="C34" s="59"/>
    </row>
    <row r="35" spans="1:3">
      <c r="A35" s="59"/>
      <c r="B35" s="59"/>
      <c r="C35" s="5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3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3">
      <c r="A1" s="79" t="s">
        <v>0</v>
      </c>
      <c r="B1" s="79" t="s">
        <v>2</v>
      </c>
      <c r="C1" s="79" t="s">
        <v>3</v>
      </c>
    </row>
    <row r="2" spans="1:3">
      <c r="A2" s="59" t="s">
        <v>19</v>
      </c>
      <c r="B2" s="87" t="s">
        <v>1091</v>
      </c>
      <c r="C2" s="59" t="s">
        <v>1092</v>
      </c>
    </row>
    <row r="3" spans="1:3">
      <c r="A3" s="59"/>
      <c r="B3" s="59"/>
      <c r="C3" s="59"/>
    </row>
    <row r="4" spans="1:3">
      <c r="A4" s="80" t="s">
        <v>39</v>
      </c>
      <c r="B4" s="80" t="s">
        <v>41</v>
      </c>
      <c r="C4" s="80"/>
    </row>
    <row r="5" spans="1:3">
      <c r="A5" s="59" t="s">
        <v>1093</v>
      </c>
      <c r="B5" s="59" t="s">
        <v>1094</v>
      </c>
      <c r="C5" s="59"/>
    </row>
    <row r="6" spans="1:3">
      <c r="A6" s="59" t="s">
        <v>1095</v>
      </c>
      <c r="B6" s="59" t="s">
        <v>1096</v>
      </c>
      <c r="C6" s="59"/>
    </row>
    <row r="7" spans="1:3">
      <c r="A7" s="59" t="s">
        <v>1098</v>
      </c>
      <c r="B7" s="59" t="s">
        <v>1099</v>
      </c>
      <c r="C7" s="59"/>
    </row>
    <row r="8" spans="1:3">
      <c r="A8" s="59"/>
      <c r="B8" s="59"/>
      <c r="C8" s="59"/>
    </row>
    <row r="9" spans="1:3">
      <c r="A9" s="80" t="s">
        <v>54</v>
      </c>
      <c r="B9" s="80" t="s">
        <v>55</v>
      </c>
      <c r="C9" s="80" t="s">
        <v>57</v>
      </c>
    </row>
    <row r="10" spans="1:3">
      <c r="A10" s="59" t="s">
        <v>844</v>
      </c>
      <c r="B10" s="59" t="s">
        <v>1102</v>
      </c>
      <c r="C10" s="59" t="s">
        <v>1103</v>
      </c>
    </row>
    <row r="11" spans="1:3">
      <c r="A11" s="59" t="s">
        <v>1105</v>
      </c>
      <c r="B11" s="59" t="s">
        <v>1107</v>
      </c>
      <c r="C11" s="59" t="s">
        <v>1109</v>
      </c>
    </row>
    <row r="12" spans="1:3">
      <c r="A12" s="59" t="s">
        <v>1110</v>
      </c>
      <c r="B12" s="59" t="s">
        <v>1112</v>
      </c>
      <c r="C12" s="59" t="s">
        <v>1114</v>
      </c>
    </row>
    <row r="13" spans="1:3">
      <c r="A13" s="59" t="s">
        <v>1086</v>
      </c>
      <c r="B13" s="59" t="s">
        <v>1116</v>
      </c>
      <c r="C13" s="59" t="s">
        <v>1117</v>
      </c>
    </row>
    <row r="14" spans="1:3">
      <c r="A14" s="59" t="s">
        <v>1088</v>
      </c>
      <c r="B14" s="59" t="s">
        <v>1118</v>
      </c>
      <c r="C14" s="59" t="s">
        <v>1119</v>
      </c>
    </row>
    <row r="15" spans="1:3">
      <c r="A15" s="59"/>
      <c r="B15" s="59"/>
      <c r="C15" s="59"/>
    </row>
    <row r="16" spans="1:3">
      <c r="A16" s="32" t="s">
        <v>151</v>
      </c>
      <c r="B16" s="33" t="s">
        <v>169</v>
      </c>
      <c r="C16" s="35" t="s">
        <v>176</v>
      </c>
    </row>
    <row r="17" spans="1:3">
      <c r="A17" s="37" t="s">
        <v>188</v>
      </c>
      <c r="B17" s="38" t="s">
        <v>1049</v>
      </c>
      <c r="C17" s="39" t="s">
        <v>1049</v>
      </c>
    </row>
    <row r="18" spans="1:3">
      <c r="A18" s="81" t="s">
        <v>1129</v>
      </c>
      <c r="B18" s="82" t="s">
        <v>1131</v>
      </c>
      <c r="C18" s="83" t="s">
        <v>1132</v>
      </c>
    </row>
    <row r="19" spans="1:3">
      <c r="A19" s="81" t="s">
        <v>1134</v>
      </c>
      <c r="B19" s="82" t="s">
        <v>1136</v>
      </c>
      <c r="C19" s="83" t="s">
        <v>1137</v>
      </c>
    </row>
    <row r="20" spans="1:3">
      <c r="A20" s="81" t="s">
        <v>1138</v>
      </c>
      <c r="B20" s="82" t="s">
        <v>1139</v>
      </c>
      <c r="C20" s="83" t="s">
        <v>1140</v>
      </c>
    </row>
    <row r="21" spans="1:3">
      <c r="A21" s="37" t="s">
        <v>203</v>
      </c>
      <c r="B21" s="38" t="s">
        <v>1049</v>
      </c>
      <c r="C21" s="39" t="s">
        <v>1049</v>
      </c>
    </row>
    <row r="22" spans="1:3">
      <c r="A22" s="81" t="s">
        <v>204</v>
      </c>
      <c r="B22" s="82" t="s">
        <v>1142</v>
      </c>
      <c r="C22" s="83" t="s">
        <v>1144</v>
      </c>
    </row>
    <row r="23" spans="1:3">
      <c r="A23" s="81" t="s">
        <v>209</v>
      </c>
      <c r="B23" s="82" t="s">
        <v>1145</v>
      </c>
      <c r="C23" s="83" t="s">
        <v>1146</v>
      </c>
    </row>
    <row r="24" spans="1:3">
      <c r="A24" s="81" t="s">
        <v>668</v>
      </c>
      <c r="B24" s="82" t="s">
        <v>1147</v>
      </c>
      <c r="C24" s="83" t="s">
        <v>1148</v>
      </c>
    </row>
    <row r="25" spans="1:3">
      <c r="A25" s="37" t="s">
        <v>224</v>
      </c>
      <c r="B25" s="38" t="s">
        <v>1049</v>
      </c>
      <c r="C25" s="39" t="s">
        <v>1049</v>
      </c>
    </row>
    <row r="26" spans="1:3">
      <c r="A26" s="81" t="s">
        <v>227</v>
      </c>
      <c r="B26" s="82" t="s">
        <v>1149</v>
      </c>
      <c r="C26" s="83" t="s">
        <v>1150</v>
      </c>
    </row>
    <row r="27" spans="1:3">
      <c r="A27" s="81" t="s">
        <v>230</v>
      </c>
      <c r="B27" s="82" t="s">
        <v>1151</v>
      </c>
      <c r="C27" s="83" t="s">
        <v>1152</v>
      </c>
    </row>
    <row r="28" spans="1:3">
      <c r="A28" s="37" t="s">
        <v>235</v>
      </c>
      <c r="B28" s="38" t="s">
        <v>1049</v>
      </c>
      <c r="C28" s="39" t="s">
        <v>1049</v>
      </c>
    </row>
    <row r="29" spans="1:3">
      <c r="A29" s="81" t="s">
        <v>237</v>
      </c>
      <c r="B29" s="82" t="s">
        <v>1153</v>
      </c>
      <c r="C29" s="83" t="s">
        <v>1154</v>
      </c>
    </row>
    <row r="30" spans="1:3">
      <c r="A30" s="84" t="s">
        <v>240</v>
      </c>
      <c r="B30" s="85" t="s">
        <v>1022</v>
      </c>
      <c r="C30" s="86" t="s">
        <v>1155</v>
      </c>
    </row>
    <row r="31" spans="1:3">
      <c r="A31" s="59"/>
      <c r="B31" s="59"/>
      <c r="C31" s="59"/>
    </row>
    <row r="32" spans="1:3">
      <c r="A32" s="59"/>
      <c r="B32" s="59"/>
      <c r="C32" s="59"/>
    </row>
    <row r="33" spans="1:3">
      <c r="A33" s="59"/>
      <c r="B33" s="59"/>
      <c r="C33" s="59"/>
    </row>
    <row r="34" spans="1:3">
      <c r="A34" s="59"/>
      <c r="B34" s="59"/>
      <c r="C34" s="59"/>
    </row>
    <row r="35" spans="1:3">
      <c r="A35" s="59"/>
      <c r="B35" s="59"/>
      <c r="C35" s="5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88671875" customWidth="1"/>
    <col min="2" max="2" width="33.88671875" customWidth="1"/>
    <col min="3" max="3" width="67.6640625" customWidth="1"/>
  </cols>
  <sheetData>
    <row r="1" spans="1:10" ht="15.75" customHeight="1">
      <c r="A1" s="1" t="s">
        <v>0</v>
      </c>
      <c r="B1" s="1" t="s">
        <v>2</v>
      </c>
      <c r="C1" s="1" t="s">
        <v>3</v>
      </c>
      <c r="D1" s="1"/>
      <c r="E1" s="3"/>
      <c r="F1" s="3"/>
      <c r="G1" s="3"/>
      <c r="H1" s="3"/>
      <c r="I1" s="3"/>
      <c r="J1" s="3"/>
    </row>
    <row r="2" spans="1:10" ht="15.75" customHeight="1">
      <c r="A2" s="4" t="s">
        <v>20</v>
      </c>
      <c r="B2" s="88">
        <v>46064</v>
      </c>
      <c r="C2" s="4" t="s">
        <v>1156</v>
      </c>
      <c r="D2" s="4"/>
      <c r="E2" s="3"/>
      <c r="F2" s="3"/>
      <c r="G2" s="3"/>
      <c r="H2" s="3"/>
      <c r="I2" s="3"/>
      <c r="J2" s="3"/>
    </row>
    <row r="3" spans="1:10" ht="15.75" customHeight="1">
      <c r="A3" s="12"/>
      <c r="B3" s="12"/>
      <c r="C3" s="12"/>
      <c r="D3" s="12"/>
      <c r="E3" s="3"/>
      <c r="F3" s="3"/>
      <c r="G3" s="3"/>
      <c r="H3" s="3"/>
      <c r="I3" s="3"/>
      <c r="J3" s="3"/>
    </row>
    <row r="4" spans="1:10" ht="15.75" customHeight="1">
      <c r="A4" s="17" t="s">
        <v>39</v>
      </c>
      <c r="B4" s="17" t="s">
        <v>41</v>
      </c>
      <c r="C4" s="17"/>
      <c r="D4" s="12"/>
      <c r="E4" s="3"/>
      <c r="F4" s="3"/>
      <c r="G4" s="3"/>
      <c r="H4" s="3"/>
      <c r="I4" s="3"/>
      <c r="J4" s="3"/>
    </row>
    <row r="5" spans="1:10" ht="15.75" customHeight="1">
      <c r="A5" s="12" t="s">
        <v>1157</v>
      </c>
      <c r="B5" s="12" t="s">
        <v>1158</v>
      </c>
      <c r="C5" s="12"/>
      <c r="D5" s="12"/>
      <c r="E5" s="3"/>
      <c r="F5" s="3"/>
      <c r="G5" s="3"/>
      <c r="H5" s="3"/>
      <c r="I5" s="3"/>
      <c r="J5" s="3"/>
    </row>
    <row r="6" spans="1:10" ht="15.75" customHeight="1">
      <c r="A6" s="12" t="s">
        <v>1159</v>
      </c>
      <c r="B6" s="12" t="s">
        <v>1160</v>
      </c>
      <c r="C6" s="12"/>
      <c r="D6" s="12"/>
      <c r="E6" s="3"/>
      <c r="F6" s="3"/>
      <c r="G6" s="3"/>
      <c r="H6" s="3"/>
      <c r="I6" s="3"/>
      <c r="J6" s="3"/>
    </row>
    <row r="7" spans="1:10" ht="15.75" customHeight="1">
      <c r="A7" s="12" t="s">
        <v>1161</v>
      </c>
      <c r="B7" s="12" t="s">
        <v>1162</v>
      </c>
      <c r="C7" s="12"/>
      <c r="D7" s="12"/>
      <c r="E7" s="3"/>
      <c r="F7" s="3"/>
      <c r="G7" s="3"/>
      <c r="H7" s="3"/>
      <c r="I7" s="3"/>
      <c r="J7" s="3"/>
    </row>
    <row r="8" spans="1:10" ht="15.75" customHeight="1">
      <c r="A8" s="12"/>
      <c r="B8" s="12"/>
      <c r="C8" s="12"/>
      <c r="D8" s="12"/>
      <c r="E8" s="3"/>
      <c r="F8" s="3"/>
      <c r="G8" s="3"/>
      <c r="H8" s="3"/>
      <c r="I8" s="3"/>
      <c r="J8" s="3"/>
    </row>
    <row r="9" spans="1:10" ht="15.75" customHeight="1">
      <c r="A9" s="17" t="s">
        <v>54</v>
      </c>
      <c r="B9" s="17" t="s">
        <v>55</v>
      </c>
      <c r="C9" s="17" t="s">
        <v>57</v>
      </c>
      <c r="D9" s="12"/>
      <c r="E9" s="3"/>
      <c r="F9" s="3"/>
      <c r="G9" s="3"/>
      <c r="H9" s="3"/>
      <c r="I9" s="3"/>
      <c r="J9" s="3"/>
    </row>
    <row r="10" spans="1:10" ht="15.75" customHeight="1">
      <c r="A10" s="12" t="s">
        <v>1034</v>
      </c>
      <c r="B10" s="12" t="s">
        <v>1163</v>
      </c>
      <c r="C10" s="12" t="s">
        <v>1164</v>
      </c>
      <c r="D10" s="12"/>
      <c r="E10" s="3"/>
      <c r="F10" s="3"/>
      <c r="G10" s="3"/>
      <c r="H10" s="3"/>
      <c r="I10" s="3"/>
      <c r="J10" s="3"/>
    </row>
    <row r="11" spans="1:10" ht="15.75" customHeight="1">
      <c r="A11" s="12" t="s">
        <v>1165</v>
      </c>
      <c r="B11" s="12" t="s">
        <v>1166</v>
      </c>
      <c r="C11" s="12" t="s">
        <v>1167</v>
      </c>
      <c r="D11" s="12"/>
      <c r="E11" s="3"/>
      <c r="F11" s="3"/>
      <c r="G11" s="3"/>
      <c r="H11" s="3"/>
      <c r="I11" s="3"/>
      <c r="J11" s="3"/>
    </row>
    <row r="12" spans="1:10" ht="15.75" customHeight="1">
      <c r="A12" s="12" t="s">
        <v>1168</v>
      </c>
      <c r="B12" s="12" t="s">
        <v>1169</v>
      </c>
      <c r="C12" s="12" t="s">
        <v>1170</v>
      </c>
      <c r="D12" s="12"/>
      <c r="E12" s="3"/>
      <c r="F12" s="3"/>
      <c r="G12" s="3"/>
      <c r="H12" s="3"/>
      <c r="I12" s="3"/>
      <c r="J12" s="3"/>
    </row>
    <row r="13" spans="1:10" ht="15.75" customHeight="1">
      <c r="A13" s="12" t="s">
        <v>593</v>
      </c>
      <c r="B13" s="12" t="s">
        <v>1171</v>
      </c>
      <c r="C13" s="12" t="s">
        <v>1172</v>
      </c>
      <c r="D13" s="12"/>
      <c r="E13" s="3"/>
      <c r="F13" s="3"/>
      <c r="G13" s="3"/>
      <c r="H13" s="3"/>
      <c r="I13" s="3"/>
      <c r="J13" s="3"/>
    </row>
    <row r="14" spans="1:10" ht="15.75" customHeight="1">
      <c r="A14" s="12" t="s">
        <v>1173</v>
      </c>
      <c r="B14" s="12" t="s">
        <v>1174</v>
      </c>
      <c r="C14" s="12" t="s">
        <v>1175</v>
      </c>
      <c r="D14" s="12"/>
      <c r="E14" s="3"/>
      <c r="F14" s="3"/>
      <c r="G14" s="3"/>
      <c r="H14" s="3"/>
      <c r="I14" s="3"/>
      <c r="J14" s="3"/>
    </row>
    <row r="15" spans="1:10" ht="15.75" customHeight="1">
      <c r="A15" s="12"/>
      <c r="B15" s="12"/>
      <c r="C15" s="12"/>
      <c r="D15" s="12"/>
      <c r="E15" s="3"/>
      <c r="F15" s="3"/>
      <c r="G15" s="3"/>
      <c r="H15" s="3"/>
      <c r="I15" s="3"/>
      <c r="J15" s="3"/>
    </row>
    <row r="16" spans="1:10" ht="15.75" customHeight="1">
      <c r="A16" s="17" t="s">
        <v>151</v>
      </c>
      <c r="B16" s="17" t="s">
        <v>169</v>
      </c>
      <c r="C16" s="17" t="s">
        <v>176</v>
      </c>
      <c r="D16" s="12"/>
      <c r="E16" s="3"/>
      <c r="F16" s="3"/>
      <c r="G16" s="3"/>
      <c r="H16" s="3"/>
      <c r="I16" s="3"/>
      <c r="J16" s="3"/>
    </row>
    <row r="17" spans="1:10" ht="15.75" customHeight="1">
      <c r="A17" s="12" t="s">
        <v>204</v>
      </c>
      <c r="B17" s="12" t="s">
        <v>1176</v>
      </c>
      <c r="C17" s="12" t="s">
        <v>1177</v>
      </c>
      <c r="D17" s="12"/>
      <c r="E17" s="3"/>
      <c r="F17" s="3"/>
      <c r="G17" s="3"/>
      <c r="H17" s="3"/>
      <c r="I17" s="3"/>
      <c r="J17" s="3"/>
    </row>
    <row r="18" spans="1:10" ht="15.75" customHeight="1">
      <c r="A18" s="12" t="s">
        <v>209</v>
      </c>
      <c r="B18" s="12" t="s">
        <v>1178</v>
      </c>
      <c r="C18" s="12" t="s">
        <v>1179</v>
      </c>
      <c r="D18" s="12"/>
      <c r="E18" s="3"/>
      <c r="F18" s="3"/>
      <c r="G18" s="3"/>
      <c r="H18" s="3"/>
      <c r="I18" s="3"/>
      <c r="J18" s="3"/>
    </row>
    <row r="19" spans="1:10" ht="15.75" customHeight="1">
      <c r="A19" s="12" t="s">
        <v>668</v>
      </c>
      <c r="B19" s="12" t="s">
        <v>1180</v>
      </c>
      <c r="C19" s="12" t="s">
        <v>1181</v>
      </c>
      <c r="D19" s="12"/>
      <c r="E19" s="3"/>
      <c r="F19" s="3"/>
      <c r="G19" s="3"/>
      <c r="H19" s="3"/>
      <c r="I19" s="3"/>
      <c r="J19" s="3"/>
    </row>
    <row r="20" spans="1:10" ht="15.75" customHeight="1">
      <c r="A20" s="12" t="s">
        <v>188</v>
      </c>
      <c r="B20" s="12" t="s">
        <v>1182</v>
      </c>
      <c r="C20" s="12" t="s">
        <v>1183</v>
      </c>
      <c r="D20" s="12"/>
      <c r="E20" s="3"/>
      <c r="F20" s="3"/>
      <c r="G20" s="3"/>
      <c r="H20" s="3"/>
      <c r="I20" s="3"/>
      <c r="J20" s="3"/>
    </row>
    <row r="21" spans="1:10" ht="15.75" customHeight="1">
      <c r="A21" s="12" t="s">
        <v>1184</v>
      </c>
      <c r="B21" s="12" t="s">
        <v>1185</v>
      </c>
      <c r="C21" s="12" t="s">
        <v>1186</v>
      </c>
      <c r="D21" s="12"/>
      <c r="E21" s="3"/>
      <c r="F21" s="3"/>
      <c r="G21" s="3"/>
      <c r="H21" s="3"/>
      <c r="I21" s="3"/>
      <c r="J21" s="3"/>
    </row>
    <row r="22" spans="1:10" ht="15.75" customHeight="1">
      <c r="A22" s="12" t="s">
        <v>1187</v>
      </c>
      <c r="B22" s="12" t="s">
        <v>1188</v>
      </c>
      <c r="C22" s="12" t="s">
        <v>1189</v>
      </c>
      <c r="D22" s="12"/>
      <c r="E22" s="3"/>
      <c r="F22" s="3"/>
      <c r="G22" s="3"/>
      <c r="H22" s="3"/>
      <c r="I22" s="3"/>
      <c r="J22" s="3"/>
    </row>
    <row r="23" spans="1:10" ht="15.75" customHeight="1">
      <c r="A23" s="12"/>
      <c r="B23" s="12"/>
      <c r="C23" s="12"/>
      <c r="D23" s="12"/>
      <c r="E23" s="3"/>
      <c r="F23" s="3"/>
      <c r="G23" s="3"/>
      <c r="H23" s="3"/>
      <c r="I23" s="3"/>
      <c r="J23" s="3"/>
    </row>
    <row r="24" spans="1:10" ht="15.75" customHeight="1">
      <c r="A24" s="32" t="s">
        <v>151</v>
      </c>
      <c r="B24" s="33" t="s">
        <v>169</v>
      </c>
      <c r="C24" s="35" t="s">
        <v>176</v>
      </c>
      <c r="D24" s="12"/>
      <c r="E24" s="3"/>
      <c r="F24" s="3"/>
      <c r="G24" s="3"/>
      <c r="H24" s="3"/>
      <c r="I24" s="3"/>
      <c r="J24" s="3"/>
    </row>
    <row r="25" spans="1:10" ht="15.75" customHeight="1">
      <c r="A25" s="37" t="s">
        <v>188</v>
      </c>
      <c r="B25" s="38"/>
      <c r="C25" s="39"/>
      <c r="D25" s="12"/>
      <c r="E25" s="3"/>
      <c r="F25" s="3"/>
      <c r="G25" s="3"/>
      <c r="H25" s="3"/>
      <c r="I25" s="3"/>
      <c r="J25" s="3"/>
    </row>
    <row r="26" spans="1:10" ht="15.75" customHeight="1">
      <c r="A26" s="41" t="s">
        <v>1195</v>
      </c>
      <c r="B26" s="42" t="s">
        <v>1197</v>
      </c>
      <c r="C26" s="44" t="s">
        <v>1202</v>
      </c>
      <c r="D26" s="12"/>
      <c r="E26" s="3"/>
      <c r="F26" s="3"/>
      <c r="G26" s="3"/>
      <c r="H26" s="3"/>
      <c r="I26" s="3"/>
      <c r="J26" s="3"/>
    </row>
    <row r="27" spans="1:10" ht="15.75" customHeight="1">
      <c r="A27" s="41" t="s">
        <v>1206</v>
      </c>
      <c r="B27" s="42" t="s">
        <v>1207</v>
      </c>
      <c r="C27" s="44" t="s">
        <v>1208</v>
      </c>
      <c r="D27" s="12"/>
      <c r="E27" s="3"/>
      <c r="F27" s="3"/>
      <c r="G27" s="3"/>
      <c r="H27" s="3"/>
      <c r="I27" s="3"/>
      <c r="J27" s="3"/>
    </row>
    <row r="28" spans="1:10" ht="15.75" customHeight="1">
      <c r="A28" s="37" t="s">
        <v>203</v>
      </c>
      <c r="B28" s="38"/>
      <c r="C28" s="39"/>
      <c r="D28" s="12"/>
      <c r="E28" s="3"/>
      <c r="F28" s="3"/>
      <c r="G28" s="3"/>
      <c r="H28" s="3"/>
      <c r="I28" s="3"/>
      <c r="J28" s="3"/>
    </row>
    <row r="29" spans="1:10" ht="15">
      <c r="A29" s="41" t="s">
        <v>204</v>
      </c>
      <c r="B29" s="42" t="s">
        <v>1176</v>
      </c>
      <c r="C29" s="44" t="s">
        <v>1218</v>
      </c>
      <c r="D29" s="12"/>
      <c r="E29" s="3"/>
      <c r="F29" s="3"/>
      <c r="G29" s="3"/>
      <c r="H29" s="3"/>
      <c r="I29" s="3"/>
      <c r="J29" s="3"/>
    </row>
    <row r="30" spans="1:10" ht="30">
      <c r="A30" s="41" t="s">
        <v>443</v>
      </c>
      <c r="B30" s="42" t="s">
        <v>1224</v>
      </c>
      <c r="C30" s="44" t="s">
        <v>1226</v>
      </c>
      <c r="D30" s="12"/>
      <c r="E30" s="3"/>
      <c r="F30" s="3"/>
      <c r="G30" s="3"/>
      <c r="H30" s="3"/>
      <c r="I30" s="3"/>
      <c r="J30" s="3"/>
    </row>
    <row r="31" spans="1:10" ht="30">
      <c r="A31" s="41" t="s">
        <v>446</v>
      </c>
      <c r="B31" s="42" t="s">
        <v>1232</v>
      </c>
      <c r="C31" s="44" t="s">
        <v>1235</v>
      </c>
      <c r="D31" s="12"/>
      <c r="E31" s="3"/>
      <c r="F31" s="3"/>
      <c r="G31" s="3"/>
      <c r="H31" s="3"/>
      <c r="I31" s="3"/>
      <c r="J31" s="3"/>
    </row>
    <row r="32" spans="1:10" ht="15">
      <c r="A32" s="41" t="s">
        <v>668</v>
      </c>
      <c r="B32" s="42" t="s">
        <v>1180</v>
      </c>
      <c r="C32" s="44" t="s">
        <v>1242</v>
      </c>
      <c r="D32" s="12"/>
      <c r="E32" s="3"/>
      <c r="F32" s="3"/>
      <c r="G32" s="3"/>
      <c r="H32" s="3"/>
      <c r="I32" s="3"/>
      <c r="J32" s="3"/>
    </row>
    <row r="33" spans="1:10" ht="15">
      <c r="A33" s="37" t="s">
        <v>1246</v>
      </c>
      <c r="B33" s="38"/>
      <c r="C33" s="39"/>
      <c r="D33" s="12"/>
      <c r="E33" s="3"/>
      <c r="F33" s="3"/>
      <c r="G33" s="3"/>
      <c r="H33" s="3"/>
      <c r="I33" s="3"/>
      <c r="J33" s="3"/>
    </row>
    <row r="34" spans="1:10" ht="30">
      <c r="A34" s="41" t="s">
        <v>227</v>
      </c>
      <c r="B34" s="42" t="s">
        <v>1250</v>
      </c>
      <c r="C34" s="44" t="s">
        <v>1252</v>
      </c>
      <c r="D34" s="12"/>
      <c r="E34" s="3"/>
      <c r="F34" s="3"/>
      <c r="G34" s="3"/>
      <c r="H34" s="3"/>
      <c r="I34" s="3"/>
      <c r="J34" s="3"/>
    </row>
    <row r="35" spans="1:10" ht="30">
      <c r="A35" s="41" t="s">
        <v>230</v>
      </c>
      <c r="B35" s="42" t="s">
        <v>1257</v>
      </c>
      <c r="C35" s="44" t="s">
        <v>1260</v>
      </c>
      <c r="D35" s="12"/>
      <c r="E35" s="3"/>
      <c r="F35" s="3"/>
      <c r="G35" s="3"/>
      <c r="H35" s="3"/>
      <c r="I35" s="3"/>
      <c r="J35" s="3"/>
    </row>
    <row r="36" spans="1:10" ht="15">
      <c r="A36" s="37" t="s">
        <v>235</v>
      </c>
      <c r="B36" s="38"/>
      <c r="C36" s="39"/>
      <c r="D36" s="12"/>
      <c r="E36" s="3"/>
      <c r="F36" s="3"/>
      <c r="G36" s="3"/>
      <c r="H36" s="3"/>
      <c r="I36" s="3"/>
      <c r="J36" s="3"/>
    </row>
    <row r="37" spans="1:10" ht="15">
      <c r="A37" s="41" t="s">
        <v>237</v>
      </c>
      <c r="B37" s="42" t="s">
        <v>1188</v>
      </c>
      <c r="C37" s="44" t="s">
        <v>1270</v>
      </c>
      <c r="D37" s="12"/>
      <c r="E37" s="3"/>
      <c r="F37" s="3"/>
      <c r="G37" s="3"/>
      <c r="H37" s="3"/>
      <c r="I37" s="3"/>
      <c r="J37" s="3"/>
    </row>
    <row r="38" spans="1:10" ht="30">
      <c r="A38" s="53" t="s">
        <v>240</v>
      </c>
      <c r="B38" s="55" t="s">
        <v>1279</v>
      </c>
      <c r="C38" s="56" t="s">
        <v>1284</v>
      </c>
      <c r="D38" s="12"/>
      <c r="E38" s="3"/>
      <c r="F38" s="3"/>
      <c r="G38" s="3"/>
      <c r="H38" s="3"/>
      <c r="I38" s="3"/>
      <c r="J38" s="3"/>
    </row>
    <row r="39" spans="1:10" ht="15">
      <c r="A39" s="12"/>
      <c r="B39" s="12"/>
      <c r="C39" s="12"/>
      <c r="D39" s="12"/>
      <c r="E39" s="3"/>
      <c r="F39" s="3"/>
      <c r="G39" s="3"/>
      <c r="H39" s="3"/>
      <c r="I39" s="3"/>
      <c r="J39" s="3"/>
    </row>
    <row r="40" spans="1:10" ht="15">
      <c r="A40" s="12"/>
      <c r="B40" s="12"/>
      <c r="C40" s="12"/>
      <c r="D40" s="12"/>
      <c r="E40" s="3"/>
      <c r="F40" s="3"/>
      <c r="G40" s="3"/>
      <c r="H40" s="3"/>
      <c r="I40" s="3"/>
      <c r="J40" s="3"/>
    </row>
    <row r="41" spans="1:10" ht="15">
      <c r="A41" s="12"/>
      <c r="B41" s="12"/>
      <c r="C41" s="12"/>
      <c r="D41" s="12"/>
      <c r="E41" s="3"/>
      <c r="F41" s="3"/>
      <c r="G41" s="3"/>
      <c r="H41" s="3"/>
      <c r="I41" s="3"/>
      <c r="J41" s="3"/>
    </row>
    <row r="42" spans="1:10" ht="15">
      <c r="A42" s="12"/>
      <c r="B42" s="12"/>
      <c r="C42" s="12"/>
      <c r="D42" s="12"/>
      <c r="E42" s="3"/>
      <c r="F42" s="3"/>
      <c r="G42" s="3"/>
      <c r="H42" s="3"/>
      <c r="I42" s="3"/>
      <c r="J42" s="3"/>
    </row>
    <row r="43" spans="1:10" ht="15">
      <c r="A43" s="12"/>
      <c r="B43" s="12"/>
      <c r="C43" s="12"/>
      <c r="D43" s="12"/>
      <c r="E43" s="3"/>
      <c r="F43" s="3"/>
      <c r="G43" s="3"/>
      <c r="H43" s="3"/>
      <c r="I43" s="3"/>
      <c r="J43" s="3"/>
    </row>
    <row r="44" spans="1:10" ht="15">
      <c r="A44" s="12"/>
      <c r="B44" s="12"/>
      <c r="C44" s="12"/>
      <c r="D44" s="12"/>
      <c r="E44" s="3"/>
      <c r="F44" s="3"/>
      <c r="G44" s="3"/>
      <c r="H44" s="3"/>
      <c r="I44" s="3"/>
      <c r="J44" s="3"/>
    </row>
    <row r="45" spans="1:10" ht="15">
      <c r="A45" s="12"/>
      <c r="B45" s="12"/>
      <c r="C45" s="12"/>
      <c r="D45" s="12"/>
      <c r="E45" s="3"/>
      <c r="F45" s="3"/>
      <c r="G45" s="3"/>
      <c r="H45" s="3"/>
      <c r="I45" s="3"/>
      <c r="J45" s="3"/>
    </row>
    <row r="46" spans="1:10" ht="15">
      <c r="A46" s="12"/>
      <c r="B46" s="12"/>
      <c r="C46" s="12"/>
      <c r="D46" s="12"/>
      <c r="E46" s="3"/>
      <c r="F46" s="3"/>
      <c r="G46" s="3"/>
      <c r="H46" s="3"/>
      <c r="I46" s="3"/>
      <c r="J46" s="3"/>
    </row>
    <row r="47" spans="1:10" ht="15">
      <c r="A47" s="12"/>
      <c r="B47" s="12"/>
      <c r="C47" s="12"/>
      <c r="D47" s="12"/>
      <c r="E47" s="3"/>
      <c r="F47" s="3"/>
      <c r="G47" s="3"/>
      <c r="H47" s="3"/>
      <c r="I47" s="3"/>
      <c r="J47" s="3"/>
    </row>
    <row r="48" spans="1:10" ht="15">
      <c r="A48" s="12"/>
      <c r="B48" s="12"/>
      <c r="C48" s="12"/>
      <c r="D48" s="12"/>
      <c r="E48" s="3"/>
      <c r="F48" s="3"/>
      <c r="G48" s="3"/>
      <c r="H48" s="3"/>
      <c r="I48" s="3"/>
      <c r="J48" s="3"/>
    </row>
    <row r="49" spans="1:10" ht="15">
      <c r="A49" s="12"/>
      <c r="B49" s="12"/>
      <c r="C49" s="12"/>
      <c r="D49" s="12"/>
      <c r="E49" s="3"/>
      <c r="F49" s="3"/>
      <c r="G49" s="3"/>
      <c r="H49" s="3"/>
      <c r="I49" s="3"/>
      <c r="J49" s="3"/>
    </row>
    <row r="50" spans="1:10" ht="15">
      <c r="A50" s="12"/>
      <c r="B50" s="12"/>
      <c r="C50" s="12"/>
      <c r="D50" s="12"/>
      <c r="E50" s="3"/>
      <c r="F50" s="3"/>
      <c r="G50" s="3"/>
      <c r="H50" s="3"/>
      <c r="I50" s="3"/>
      <c r="J50" s="3"/>
    </row>
    <row r="51" spans="1:10" ht="15">
      <c r="A51" s="12"/>
      <c r="B51" s="12"/>
      <c r="C51" s="12"/>
      <c r="D51" s="12"/>
      <c r="E51" s="3"/>
      <c r="F51" s="3"/>
      <c r="G51" s="3"/>
      <c r="H51" s="3"/>
      <c r="I51" s="3"/>
      <c r="J51" s="3"/>
    </row>
    <row r="52" spans="1:10" ht="15">
      <c r="A52" s="12"/>
      <c r="B52" s="12"/>
      <c r="C52" s="12"/>
      <c r="D52" s="12"/>
      <c r="E52" s="3"/>
      <c r="F52" s="3"/>
      <c r="G52" s="3"/>
      <c r="H52" s="3"/>
      <c r="I52" s="3"/>
      <c r="J52" s="3"/>
    </row>
    <row r="53" spans="1:10" ht="15">
      <c r="A53" s="12"/>
      <c r="B53" s="12"/>
      <c r="C53" s="12"/>
      <c r="D53" s="12"/>
      <c r="E53" s="3"/>
      <c r="F53" s="3"/>
      <c r="G53" s="3"/>
      <c r="H53" s="3"/>
      <c r="I53" s="3"/>
      <c r="J53" s="3"/>
    </row>
    <row r="54" spans="1:10" ht="15">
      <c r="A54" s="12"/>
      <c r="B54" s="12"/>
      <c r="C54" s="12"/>
      <c r="D54" s="12"/>
      <c r="E54" s="3"/>
      <c r="F54" s="3"/>
      <c r="G54" s="3"/>
      <c r="H54" s="3"/>
      <c r="I54" s="3"/>
      <c r="J54" s="3"/>
    </row>
    <row r="55" spans="1:10" ht="15">
      <c r="A55" s="12"/>
      <c r="B55" s="12"/>
      <c r="C55" s="12"/>
      <c r="D55" s="12"/>
      <c r="E55" s="3"/>
      <c r="F55" s="3"/>
      <c r="G55" s="3"/>
      <c r="H55" s="3"/>
      <c r="I55" s="3"/>
      <c r="J55" s="3"/>
    </row>
    <row r="56" spans="1:10" ht="15">
      <c r="A56" s="12"/>
      <c r="B56" s="12"/>
      <c r="C56" s="12"/>
      <c r="D56" s="12"/>
      <c r="E56" s="3"/>
      <c r="F56" s="3"/>
      <c r="G56" s="3"/>
      <c r="H56" s="3"/>
      <c r="I56" s="3"/>
      <c r="J56" s="3"/>
    </row>
    <row r="57" spans="1:10" ht="15">
      <c r="A57" s="12"/>
      <c r="B57" s="12"/>
      <c r="C57" s="12"/>
      <c r="D57" s="12"/>
      <c r="E57" s="3"/>
      <c r="F57" s="3"/>
      <c r="G57" s="3"/>
      <c r="H57" s="3"/>
      <c r="I57" s="3"/>
      <c r="J57" s="3"/>
    </row>
    <row r="58" spans="1:10" ht="15">
      <c r="A58" s="12"/>
      <c r="B58" s="12"/>
      <c r="C58" s="12"/>
      <c r="D58" s="12"/>
      <c r="E58" s="3"/>
      <c r="F58" s="3"/>
      <c r="G58" s="3"/>
      <c r="H58" s="3"/>
      <c r="I58" s="3"/>
      <c r="J58" s="3"/>
    </row>
    <row r="59" spans="1:10" ht="15">
      <c r="A59" s="12"/>
      <c r="B59" s="12"/>
      <c r="C59" s="12"/>
      <c r="D59" s="12"/>
      <c r="E59" s="3"/>
      <c r="F59" s="3"/>
      <c r="G59" s="3"/>
      <c r="H59" s="3"/>
      <c r="I59" s="3"/>
      <c r="J59" s="3"/>
    </row>
    <row r="60" spans="1:10" ht="15">
      <c r="A60" s="12"/>
      <c r="B60" s="12"/>
      <c r="C60" s="12"/>
      <c r="D60" s="12"/>
      <c r="E60" s="3"/>
      <c r="F60" s="3"/>
      <c r="G60" s="3"/>
      <c r="H60" s="3"/>
      <c r="I60" s="3"/>
      <c r="J60" s="3"/>
    </row>
    <row r="61" spans="1:10" ht="15">
      <c r="A61" s="12"/>
      <c r="B61" s="57"/>
      <c r="C61" s="57"/>
      <c r="D61" s="3"/>
      <c r="E61" s="3"/>
      <c r="F61" s="3"/>
      <c r="G61" s="3"/>
      <c r="H61" s="3"/>
      <c r="I61" s="3"/>
      <c r="J61" s="3"/>
    </row>
    <row r="62" spans="1:10" ht="15">
      <c r="A62" s="12"/>
      <c r="B62" s="57"/>
      <c r="C62" s="57"/>
      <c r="D62" s="3"/>
      <c r="E62" s="3"/>
      <c r="F62" s="3"/>
      <c r="G62" s="3"/>
      <c r="H62" s="3"/>
      <c r="I62" s="3"/>
      <c r="J62" s="3"/>
    </row>
    <row r="63" spans="1:10" ht="15">
      <c r="A63" s="12"/>
      <c r="B63" s="57"/>
      <c r="C63" s="57"/>
      <c r="D63" s="3"/>
      <c r="E63" s="3"/>
      <c r="F63" s="3"/>
      <c r="G63" s="3"/>
      <c r="H63" s="3"/>
      <c r="I63" s="3"/>
      <c r="J63" s="3"/>
    </row>
    <row r="64" spans="1:10" ht="15">
      <c r="A64" s="12"/>
      <c r="B64" s="57"/>
      <c r="C64" s="57"/>
      <c r="D64" s="3"/>
      <c r="E64" s="3"/>
      <c r="F64" s="3"/>
      <c r="G64" s="3"/>
      <c r="H64" s="3"/>
      <c r="I64" s="3"/>
      <c r="J64" s="3"/>
    </row>
    <row r="65" spans="1:10" ht="15">
      <c r="A65" s="12"/>
      <c r="B65" s="57"/>
      <c r="C65" s="57"/>
      <c r="D65" s="3"/>
      <c r="E65" s="3"/>
      <c r="F65" s="3"/>
      <c r="G65" s="3"/>
      <c r="H65" s="3"/>
      <c r="I65" s="3"/>
      <c r="J65" s="3"/>
    </row>
    <row r="66" spans="1:10" ht="15">
      <c r="A66" s="12"/>
      <c r="B66" s="57"/>
      <c r="C66" s="57"/>
      <c r="D66" s="3"/>
      <c r="E66" s="3"/>
      <c r="F66" s="3"/>
      <c r="G66" s="3"/>
      <c r="H66" s="3"/>
      <c r="I66" s="3"/>
      <c r="J66" s="3"/>
    </row>
    <row r="67" spans="1:10" ht="15">
      <c r="A67" s="12"/>
      <c r="B67" s="57"/>
      <c r="C67" s="57"/>
      <c r="D67" s="3"/>
      <c r="E67" s="3"/>
      <c r="F67" s="3"/>
      <c r="G67" s="3"/>
      <c r="H67" s="3"/>
      <c r="I67" s="3"/>
      <c r="J67" s="3"/>
    </row>
    <row r="68" spans="1:10" ht="15">
      <c r="A68" s="12"/>
      <c r="B68" s="57"/>
      <c r="C68" s="57"/>
      <c r="D68" s="3"/>
      <c r="E68" s="3"/>
      <c r="F68" s="3"/>
      <c r="G68" s="3"/>
      <c r="H68" s="3"/>
      <c r="I68" s="3"/>
      <c r="J68" s="3"/>
    </row>
    <row r="69" spans="1:10" ht="15">
      <c r="A69" s="12"/>
      <c r="B69" s="57"/>
      <c r="C69" s="57"/>
      <c r="D69" s="3"/>
      <c r="E69" s="3"/>
      <c r="F69" s="3"/>
      <c r="G69" s="3"/>
      <c r="H69" s="3"/>
      <c r="I69" s="3"/>
      <c r="J69" s="3"/>
    </row>
    <row r="70" spans="1:10" ht="15">
      <c r="A70" s="12"/>
      <c r="B70" s="57"/>
      <c r="C70" s="57"/>
      <c r="D70" s="3"/>
      <c r="E70" s="3"/>
      <c r="F70" s="3"/>
      <c r="G70" s="3"/>
      <c r="H70" s="3"/>
      <c r="I70" s="3"/>
      <c r="J70" s="3"/>
    </row>
    <row r="71" spans="1:10" ht="15">
      <c r="A71" s="12"/>
      <c r="B71" s="57"/>
      <c r="C71" s="57"/>
      <c r="D71" s="3"/>
      <c r="E71" s="3"/>
      <c r="F71" s="3"/>
      <c r="G71" s="3"/>
      <c r="H71" s="3"/>
      <c r="I71" s="3"/>
      <c r="J71" s="3"/>
    </row>
    <row r="72" spans="1:10" ht="15">
      <c r="A72" s="12"/>
      <c r="B72" s="57"/>
      <c r="C72" s="57"/>
      <c r="D72" s="3"/>
      <c r="E72" s="3"/>
      <c r="F72" s="3"/>
      <c r="G72" s="3"/>
      <c r="H72" s="3"/>
      <c r="I72" s="3"/>
      <c r="J72" s="3"/>
    </row>
    <row r="73" spans="1:10" ht="15">
      <c r="A73" s="12"/>
      <c r="B73" s="57"/>
      <c r="C73" s="57"/>
      <c r="D73" s="3"/>
      <c r="E73" s="3"/>
      <c r="F73" s="3"/>
      <c r="G73" s="3"/>
      <c r="H73" s="3"/>
      <c r="I73" s="3"/>
      <c r="J73" s="3"/>
    </row>
    <row r="74" spans="1:10" ht="15">
      <c r="A74" s="12"/>
      <c r="B74" s="57"/>
      <c r="C74" s="57"/>
      <c r="D74" s="3"/>
      <c r="E74" s="3"/>
      <c r="F74" s="3"/>
      <c r="G74" s="3"/>
      <c r="H74" s="3"/>
      <c r="I74" s="3"/>
      <c r="J74" s="3"/>
    </row>
    <row r="75" spans="1:10" ht="15">
      <c r="A75" s="12"/>
      <c r="B75" s="57"/>
      <c r="C75" s="57"/>
      <c r="D75" s="3"/>
      <c r="E75" s="3"/>
      <c r="F75" s="3"/>
      <c r="G75" s="3"/>
      <c r="H75" s="3"/>
      <c r="I75" s="3"/>
      <c r="J75" s="3"/>
    </row>
    <row r="76" spans="1:10" ht="15">
      <c r="A76" s="12"/>
      <c r="B76" s="57"/>
      <c r="C76" s="57"/>
      <c r="D76" s="3"/>
      <c r="E76" s="3"/>
      <c r="F76" s="3"/>
      <c r="G76" s="3"/>
      <c r="H76" s="3"/>
      <c r="I76" s="3"/>
      <c r="J76" s="3"/>
    </row>
    <row r="77" spans="1:10" ht="15">
      <c r="A77" s="12"/>
      <c r="B77" s="57"/>
      <c r="C77" s="57"/>
      <c r="D77" s="3"/>
      <c r="E77" s="3"/>
      <c r="F77" s="3"/>
      <c r="G77" s="3"/>
      <c r="H77" s="3"/>
      <c r="I77" s="3"/>
      <c r="J77" s="3"/>
    </row>
    <row r="78" spans="1:10" ht="15">
      <c r="A78" s="12"/>
      <c r="B78" s="57"/>
      <c r="C78" s="57"/>
      <c r="D78" s="3"/>
      <c r="E78" s="3"/>
      <c r="F78" s="3"/>
      <c r="G78" s="3"/>
      <c r="H78" s="3"/>
      <c r="I78" s="3"/>
      <c r="J78" s="3"/>
    </row>
    <row r="79" spans="1:10" ht="15">
      <c r="A79" s="12"/>
      <c r="B79" s="57"/>
      <c r="C79" s="57"/>
      <c r="D79" s="3"/>
      <c r="E79" s="3"/>
      <c r="F79" s="3"/>
      <c r="G79" s="3"/>
      <c r="H79" s="3"/>
      <c r="I79" s="3"/>
      <c r="J79" s="3"/>
    </row>
    <row r="80" spans="1:10" ht="15">
      <c r="A80" s="12"/>
      <c r="B80" s="57"/>
      <c r="C80" s="57"/>
      <c r="D80" s="3"/>
      <c r="E80" s="3"/>
      <c r="F80" s="3"/>
      <c r="G80" s="3"/>
      <c r="H80" s="3"/>
      <c r="I80" s="3"/>
      <c r="J80" s="3"/>
    </row>
    <row r="81" spans="1:10" ht="15">
      <c r="A81" s="12"/>
      <c r="B81" s="57"/>
      <c r="C81" s="57"/>
      <c r="D81" s="3"/>
      <c r="E81" s="3"/>
      <c r="F81" s="3"/>
      <c r="G81" s="3"/>
      <c r="H81" s="3"/>
      <c r="I81" s="3"/>
      <c r="J81" s="3"/>
    </row>
    <row r="82" spans="1:10" ht="15">
      <c r="A82" s="12"/>
      <c r="B82" s="57"/>
      <c r="C82" s="57"/>
      <c r="D82" s="3"/>
      <c r="E82" s="3"/>
      <c r="F82" s="3"/>
      <c r="G82" s="3"/>
      <c r="H82" s="3"/>
      <c r="I82" s="3"/>
      <c r="J82" s="3"/>
    </row>
    <row r="83" spans="1:10" ht="15">
      <c r="A83" s="12"/>
      <c r="B83" s="57"/>
      <c r="C83" s="57"/>
      <c r="D83" s="3"/>
      <c r="E83" s="3"/>
      <c r="F83" s="3"/>
      <c r="G83" s="3"/>
      <c r="H83" s="3"/>
      <c r="I83" s="3"/>
      <c r="J83" s="3"/>
    </row>
    <row r="84" spans="1:10" ht="15">
      <c r="A84" s="12"/>
      <c r="B84" s="57"/>
      <c r="C84" s="57"/>
      <c r="D84" s="3"/>
      <c r="E84" s="3"/>
      <c r="F84" s="3"/>
      <c r="G84" s="3"/>
      <c r="H84" s="3"/>
      <c r="I84" s="3"/>
      <c r="J84" s="3"/>
    </row>
    <row r="85" spans="1:10" ht="15">
      <c r="A85" s="12"/>
      <c r="B85" s="57"/>
      <c r="C85" s="57"/>
      <c r="D85" s="3"/>
      <c r="E85" s="3"/>
      <c r="F85" s="3"/>
      <c r="G85" s="3"/>
      <c r="H85" s="3"/>
      <c r="I85" s="3"/>
      <c r="J85" s="3"/>
    </row>
    <row r="86" spans="1:10" ht="15">
      <c r="A86" s="12"/>
      <c r="B86" s="57"/>
      <c r="C86" s="57"/>
      <c r="D86" s="3"/>
      <c r="E86" s="3"/>
      <c r="F86" s="3"/>
      <c r="G86" s="3"/>
      <c r="H86" s="3"/>
      <c r="I86" s="3"/>
      <c r="J86" s="3"/>
    </row>
    <row r="87" spans="1:10" ht="15">
      <c r="A87" s="12"/>
      <c r="B87" s="57"/>
      <c r="C87" s="57"/>
      <c r="D87" s="3"/>
      <c r="E87" s="3"/>
      <c r="F87" s="3"/>
      <c r="G87" s="3"/>
      <c r="H87" s="3"/>
      <c r="I87" s="3"/>
      <c r="J87" s="3"/>
    </row>
    <row r="88" spans="1:10" ht="15">
      <c r="A88" s="12"/>
      <c r="B88" s="57"/>
      <c r="C88" s="57"/>
      <c r="D88" s="3"/>
      <c r="E88" s="3"/>
      <c r="F88" s="3"/>
      <c r="G88" s="3"/>
      <c r="H88" s="3"/>
      <c r="I88" s="3"/>
      <c r="J88" s="3"/>
    </row>
    <row r="89" spans="1:10" ht="15">
      <c r="A89" s="12"/>
      <c r="B89" s="57"/>
      <c r="C89" s="57"/>
      <c r="D89" s="3"/>
      <c r="E89" s="3"/>
      <c r="F89" s="3"/>
      <c r="G89" s="3"/>
      <c r="H89" s="3"/>
      <c r="I89" s="3"/>
      <c r="J89" s="3"/>
    </row>
    <row r="90" spans="1:10" ht="15">
      <c r="A90" s="12"/>
      <c r="B90" s="57"/>
      <c r="C90" s="57"/>
      <c r="D90" s="3"/>
      <c r="E90" s="3"/>
      <c r="F90" s="3"/>
      <c r="G90" s="3"/>
      <c r="H90" s="3"/>
      <c r="I90" s="3"/>
      <c r="J90" s="3"/>
    </row>
    <row r="91" spans="1:10" ht="15">
      <c r="A91" s="12"/>
      <c r="B91" s="57"/>
      <c r="C91" s="57"/>
      <c r="D91" s="3"/>
      <c r="E91" s="3"/>
      <c r="F91" s="3"/>
      <c r="G91" s="3"/>
      <c r="H91" s="3"/>
      <c r="I91" s="3"/>
      <c r="J91" s="3"/>
    </row>
    <row r="92" spans="1:10" ht="15">
      <c r="A92" s="12"/>
      <c r="B92" s="57"/>
      <c r="C92" s="57"/>
      <c r="D92" s="3"/>
      <c r="E92" s="3"/>
      <c r="F92" s="3"/>
      <c r="G92" s="3"/>
      <c r="H92" s="3"/>
      <c r="I92" s="3"/>
      <c r="J92" s="3"/>
    </row>
    <row r="93" spans="1:10" ht="15">
      <c r="A93" s="12"/>
      <c r="B93" s="57"/>
      <c r="C93" s="57"/>
      <c r="D93" s="3"/>
      <c r="E93" s="3"/>
      <c r="F93" s="3"/>
      <c r="G93" s="3"/>
      <c r="H93" s="3"/>
      <c r="I93" s="3"/>
      <c r="J93" s="3"/>
    </row>
    <row r="94" spans="1:10" ht="15">
      <c r="A94" s="12"/>
      <c r="B94" s="57"/>
      <c r="C94" s="57"/>
      <c r="D94" s="3"/>
      <c r="E94" s="3"/>
      <c r="F94" s="3"/>
      <c r="G94" s="3"/>
      <c r="H94" s="3"/>
      <c r="I94" s="3"/>
      <c r="J94" s="3"/>
    </row>
    <row r="95" spans="1:10" ht="15">
      <c r="A95" s="12"/>
      <c r="B95" s="57"/>
      <c r="C95" s="57"/>
      <c r="D95" s="3"/>
      <c r="E95" s="3"/>
      <c r="F95" s="3"/>
      <c r="G95" s="3"/>
      <c r="H95" s="3"/>
      <c r="I95" s="3"/>
      <c r="J95" s="3"/>
    </row>
    <row r="96" spans="1:10" ht="15">
      <c r="A96" s="12"/>
      <c r="B96" s="57"/>
      <c r="C96" s="57"/>
      <c r="D96" s="3"/>
      <c r="E96" s="3"/>
      <c r="F96" s="3"/>
      <c r="G96" s="3"/>
      <c r="H96" s="3"/>
      <c r="I96" s="3"/>
      <c r="J96" s="3"/>
    </row>
    <row r="97" spans="1:10" ht="15">
      <c r="A97" s="12"/>
      <c r="B97" s="57"/>
      <c r="C97" s="57"/>
      <c r="D97" s="3"/>
      <c r="E97" s="3"/>
      <c r="F97" s="3"/>
      <c r="G97" s="3"/>
      <c r="H97" s="3"/>
      <c r="I97" s="3"/>
      <c r="J97" s="3"/>
    </row>
    <row r="98" spans="1:10" ht="15">
      <c r="A98" s="12"/>
      <c r="B98" s="57"/>
      <c r="C98" s="57"/>
      <c r="D98" s="3"/>
      <c r="E98" s="3"/>
      <c r="F98" s="3"/>
      <c r="G98" s="3"/>
      <c r="H98" s="3"/>
      <c r="I98" s="3"/>
      <c r="J98" s="3"/>
    </row>
    <row r="99" spans="1:10" ht="15">
      <c r="A99" s="12"/>
      <c r="B99" s="57"/>
      <c r="C99" s="57"/>
      <c r="D99" s="3"/>
      <c r="E99" s="3"/>
      <c r="F99" s="3"/>
      <c r="G99" s="3"/>
      <c r="H99" s="3"/>
      <c r="I99" s="3"/>
      <c r="J99" s="3"/>
    </row>
    <row r="100" spans="1:10" ht="15">
      <c r="A100" s="12"/>
      <c r="B100" s="57"/>
      <c r="C100" s="57"/>
      <c r="D100" s="3"/>
      <c r="E100" s="3"/>
      <c r="F100" s="3"/>
      <c r="G100" s="3"/>
      <c r="H100" s="3"/>
      <c r="I100" s="3"/>
      <c r="J100" s="3"/>
    </row>
    <row r="101" spans="1:10" ht="13.2">
      <c r="A101" s="59"/>
      <c r="B101" s="60"/>
      <c r="C101" s="60"/>
    </row>
    <row r="102" spans="1:10" ht="13.2">
      <c r="A102" s="59"/>
      <c r="B102" s="60"/>
      <c r="C102" s="60"/>
    </row>
    <row r="103" spans="1:10" ht="13.2">
      <c r="A103" s="59"/>
      <c r="B103" s="60"/>
      <c r="C103" s="60"/>
    </row>
    <row r="104" spans="1:10" ht="13.2">
      <c r="A104" s="59"/>
      <c r="B104" s="60"/>
      <c r="C104" s="60"/>
    </row>
    <row r="105" spans="1:10" ht="13.2">
      <c r="A105" s="59"/>
      <c r="B105" s="60"/>
      <c r="C105" s="60"/>
    </row>
    <row r="106" spans="1:10" ht="13.2">
      <c r="A106" s="59"/>
      <c r="B106" s="60"/>
      <c r="C106" s="60"/>
    </row>
    <row r="107" spans="1:10" ht="13.2">
      <c r="A107" s="59"/>
      <c r="B107" s="60"/>
      <c r="C107" s="60"/>
    </row>
    <row r="108" spans="1:10" ht="13.2">
      <c r="A108" s="59"/>
      <c r="B108" s="60"/>
      <c r="C108" s="60"/>
    </row>
    <row r="109" spans="1:10" ht="13.2">
      <c r="A109" s="59"/>
      <c r="B109" s="60"/>
      <c r="C109" s="60"/>
    </row>
    <row r="110" spans="1:10" ht="13.2">
      <c r="A110" s="59"/>
      <c r="B110" s="60"/>
      <c r="C110" s="60"/>
    </row>
    <row r="111" spans="1:10" ht="13.2">
      <c r="A111" s="59"/>
      <c r="B111" s="60"/>
      <c r="C111" s="60"/>
    </row>
    <row r="112" spans="1:10" ht="13.2">
      <c r="A112" s="59"/>
      <c r="B112" s="60"/>
      <c r="C112" s="60"/>
    </row>
    <row r="113" spans="1:3" ht="13.2">
      <c r="A113" s="59"/>
      <c r="B113" s="60"/>
      <c r="C113" s="60"/>
    </row>
    <row r="114" spans="1:3" ht="13.2">
      <c r="A114" s="59"/>
      <c r="B114" s="60"/>
      <c r="C114" s="60"/>
    </row>
    <row r="115" spans="1:3" ht="13.2">
      <c r="A115" s="59"/>
      <c r="B115" s="60"/>
      <c r="C115" s="60"/>
    </row>
    <row r="116" spans="1:3" ht="13.2">
      <c r="A116" s="59"/>
      <c r="B116" s="60"/>
      <c r="C116" s="60"/>
    </row>
    <row r="117" spans="1:3" ht="13.2">
      <c r="A117" s="59"/>
      <c r="B117" s="60"/>
      <c r="C117" s="60"/>
    </row>
    <row r="118" spans="1:3" ht="13.2">
      <c r="A118" s="59"/>
      <c r="B118" s="60"/>
      <c r="C118" s="60"/>
    </row>
    <row r="119" spans="1:3" ht="13.2">
      <c r="A119" s="59"/>
      <c r="B119" s="60"/>
      <c r="C119" s="60"/>
    </row>
    <row r="120" spans="1:3" ht="13.2">
      <c r="A120" s="59"/>
      <c r="B120" s="60"/>
      <c r="C120" s="60"/>
    </row>
    <row r="121" spans="1:3" ht="13.2">
      <c r="A121" s="59"/>
      <c r="B121" s="60"/>
      <c r="C121" s="60"/>
    </row>
    <row r="122" spans="1:3" ht="13.2">
      <c r="A122" s="59"/>
      <c r="B122" s="60"/>
      <c r="C122" s="60"/>
    </row>
    <row r="123" spans="1:3" ht="13.2">
      <c r="A123" s="59"/>
      <c r="B123" s="60"/>
      <c r="C123" s="60"/>
    </row>
    <row r="124" spans="1:3" ht="13.2">
      <c r="A124" s="59"/>
      <c r="B124" s="60"/>
      <c r="C124" s="60"/>
    </row>
    <row r="125" spans="1:3" ht="13.2">
      <c r="A125" s="59"/>
      <c r="B125" s="60"/>
      <c r="C125" s="60"/>
    </row>
    <row r="126" spans="1:3" ht="13.2">
      <c r="A126" s="59"/>
      <c r="B126" s="60"/>
      <c r="C126" s="60"/>
    </row>
    <row r="127" spans="1:3" ht="13.2">
      <c r="A127" s="59"/>
      <c r="B127" s="60"/>
      <c r="C127" s="60"/>
    </row>
    <row r="128" spans="1:3" ht="13.2">
      <c r="A128" s="59"/>
      <c r="B128" s="60"/>
      <c r="C128" s="60"/>
    </row>
    <row r="129" spans="1:3" ht="13.2">
      <c r="A129" s="59"/>
      <c r="B129" s="60"/>
      <c r="C129" s="60"/>
    </row>
    <row r="130" spans="1:3" ht="13.2">
      <c r="A130" s="59"/>
      <c r="B130" s="60"/>
      <c r="C130" s="60"/>
    </row>
    <row r="131" spans="1:3" ht="13.2">
      <c r="A131" s="59"/>
      <c r="B131" s="60"/>
      <c r="C131" s="60"/>
    </row>
    <row r="132" spans="1:3" ht="13.2">
      <c r="A132" s="59"/>
      <c r="B132" s="60"/>
      <c r="C132" s="60"/>
    </row>
    <row r="133" spans="1:3" ht="13.2">
      <c r="A133" s="59"/>
      <c r="B133" s="60"/>
      <c r="C133" s="60"/>
    </row>
    <row r="134" spans="1:3" ht="13.2">
      <c r="A134" s="59"/>
      <c r="B134" s="60"/>
      <c r="C134" s="60"/>
    </row>
    <row r="135" spans="1:3" ht="13.2">
      <c r="A135" s="59"/>
      <c r="B135" s="60"/>
      <c r="C135" s="60"/>
    </row>
    <row r="136" spans="1:3" ht="13.2">
      <c r="A136" s="59"/>
      <c r="B136" s="60"/>
      <c r="C136" s="60"/>
    </row>
    <row r="137" spans="1:3" ht="13.2">
      <c r="A137" s="59"/>
      <c r="B137" s="60"/>
      <c r="C137" s="60"/>
    </row>
    <row r="138" spans="1:3" ht="13.2">
      <c r="A138" s="59"/>
      <c r="B138" s="60"/>
      <c r="C138" s="60"/>
    </row>
    <row r="139" spans="1:3" ht="13.2">
      <c r="A139" s="59"/>
      <c r="B139" s="60"/>
      <c r="C139" s="60"/>
    </row>
    <row r="140" spans="1:3" ht="13.2">
      <c r="A140" s="59"/>
      <c r="B140" s="60"/>
      <c r="C140" s="60"/>
    </row>
    <row r="141" spans="1:3" ht="13.2">
      <c r="A141" s="59"/>
      <c r="B141" s="60"/>
      <c r="C141" s="60"/>
    </row>
    <row r="142" spans="1:3" ht="13.2">
      <c r="A142" s="59"/>
      <c r="B142" s="60"/>
      <c r="C142" s="60"/>
    </row>
    <row r="143" spans="1:3" ht="13.2">
      <c r="A143" s="59"/>
      <c r="B143" s="60"/>
      <c r="C143" s="60"/>
    </row>
    <row r="144" spans="1:3" ht="13.2">
      <c r="A144" s="59"/>
      <c r="B144" s="60"/>
      <c r="C144" s="60"/>
    </row>
    <row r="145" spans="1:3" ht="13.2">
      <c r="A145" s="59"/>
      <c r="B145" s="60"/>
      <c r="C145" s="60"/>
    </row>
    <row r="146" spans="1:3" ht="13.2">
      <c r="A146" s="59"/>
      <c r="B146" s="60"/>
      <c r="C146" s="60"/>
    </row>
    <row r="147" spans="1:3" ht="13.2">
      <c r="A147" s="59"/>
      <c r="B147" s="60"/>
      <c r="C147" s="60"/>
    </row>
    <row r="148" spans="1:3" ht="13.2">
      <c r="A148" s="59"/>
      <c r="B148" s="60"/>
      <c r="C148" s="60"/>
    </row>
    <row r="149" spans="1:3" ht="13.2">
      <c r="A149" s="59"/>
      <c r="B149" s="60"/>
      <c r="C149" s="60"/>
    </row>
    <row r="150" spans="1:3" ht="13.2">
      <c r="A150" s="59"/>
      <c r="B150" s="60"/>
      <c r="C150" s="60"/>
    </row>
    <row r="151" spans="1:3" ht="13.2">
      <c r="A151" s="59"/>
      <c r="B151" s="60"/>
      <c r="C151" s="60"/>
    </row>
    <row r="152" spans="1:3" ht="13.2">
      <c r="A152" s="59"/>
      <c r="B152" s="60"/>
      <c r="C152" s="60"/>
    </row>
    <row r="153" spans="1:3" ht="13.2">
      <c r="A153" s="59"/>
      <c r="B153" s="60"/>
      <c r="C153" s="60"/>
    </row>
    <row r="154" spans="1:3" ht="13.2">
      <c r="A154" s="59"/>
      <c r="B154" s="60"/>
      <c r="C154" s="60"/>
    </row>
    <row r="155" spans="1:3" ht="13.2">
      <c r="A155" s="59"/>
      <c r="B155" s="60"/>
      <c r="C155" s="60"/>
    </row>
    <row r="156" spans="1:3" ht="13.2">
      <c r="A156" s="59"/>
      <c r="B156" s="60"/>
      <c r="C156" s="60"/>
    </row>
    <row r="157" spans="1:3" ht="13.2">
      <c r="A157" s="59"/>
      <c r="B157" s="60"/>
      <c r="C157" s="60"/>
    </row>
    <row r="158" spans="1:3" ht="13.2">
      <c r="A158" s="59"/>
      <c r="B158" s="60"/>
      <c r="C158" s="60"/>
    </row>
    <row r="159" spans="1:3" ht="13.2">
      <c r="A159" s="59"/>
      <c r="B159" s="60"/>
      <c r="C159" s="60"/>
    </row>
    <row r="160" spans="1:3" ht="13.2">
      <c r="A160" s="59"/>
      <c r="B160" s="60"/>
      <c r="C160" s="60"/>
    </row>
    <row r="161" spans="1:3" ht="13.2">
      <c r="A161" s="59"/>
      <c r="B161" s="60"/>
      <c r="C161" s="60"/>
    </row>
    <row r="162" spans="1:3" ht="13.2">
      <c r="A162" s="59"/>
      <c r="B162" s="60"/>
      <c r="C162" s="60"/>
    </row>
    <row r="163" spans="1:3" ht="13.2">
      <c r="A163" s="59"/>
      <c r="B163" s="60"/>
      <c r="C163" s="60"/>
    </row>
    <row r="164" spans="1:3" ht="13.2">
      <c r="A164" s="59"/>
      <c r="B164" s="60"/>
      <c r="C164" s="60"/>
    </row>
    <row r="165" spans="1:3" ht="13.2">
      <c r="A165" s="59"/>
      <c r="B165" s="60"/>
      <c r="C165" s="60"/>
    </row>
    <row r="166" spans="1:3" ht="13.2">
      <c r="A166" s="59"/>
      <c r="B166" s="60"/>
      <c r="C166" s="60"/>
    </row>
    <row r="167" spans="1:3" ht="13.2">
      <c r="A167" s="59"/>
      <c r="B167" s="60"/>
      <c r="C167" s="60"/>
    </row>
    <row r="168" spans="1:3" ht="13.2">
      <c r="A168" s="59"/>
      <c r="B168" s="60"/>
      <c r="C168" s="60"/>
    </row>
    <row r="169" spans="1:3" ht="13.2">
      <c r="A169" s="59"/>
      <c r="B169" s="60"/>
      <c r="C169" s="60"/>
    </row>
    <row r="170" spans="1:3" ht="13.2">
      <c r="A170" s="59"/>
      <c r="B170" s="60"/>
      <c r="C170" s="60"/>
    </row>
    <row r="171" spans="1:3" ht="13.2">
      <c r="A171" s="59"/>
      <c r="B171" s="60"/>
      <c r="C171" s="60"/>
    </row>
    <row r="172" spans="1:3" ht="13.2">
      <c r="A172" s="59"/>
      <c r="B172" s="60"/>
      <c r="C172" s="60"/>
    </row>
    <row r="173" spans="1:3" ht="13.2">
      <c r="A173" s="59"/>
      <c r="B173" s="60"/>
      <c r="C173" s="60"/>
    </row>
    <row r="174" spans="1:3" ht="13.2">
      <c r="A174" s="59"/>
      <c r="B174" s="60"/>
      <c r="C174" s="60"/>
    </row>
    <row r="175" spans="1:3" ht="13.2">
      <c r="A175" s="59"/>
      <c r="B175" s="60"/>
      <c r="C175" s="60"/>
    </row>
    <row r="176" spans="1:3" ht="13.2">
      <c r="A176" s="59"/>
      <c r="B176" s="60"/>
      <c r="C176" s="60"/>
    </row>
    <row r="177" spans="1:3" ht="13.2">
      <c r="A177" s="59"/>
      <c r="B177" s="60"/>
      <c r="C177" s="60"/>
    </row>
    <row r="178" spans="1:3" ht="13.2">
      <c r="A178" s="59"/>
      <c r="B178" s="60"/>
      <c r="C178" s="60"/>
    </row>
    <row r="179" spans="1:3" ht="13.2">
      <c r="A179" s="59"/>
      <c r="B179" s="60"/>
      <c r="C179" s="60"/>
    </row>
    <row r="180" spans="1:3" ht="13.2">
      <c r="A180" s="59"/>
      <c r="B180" s="60"/>
      <c r="C180" s="60"/>
    </row>
    <row r="181" spans="1:3" ht="13.2">
      <c r="A181" s="59"/>
      <c r="B181" s="60"/>
      <c r="C181" s="60"/>
    </row>
    <row r="182" spans="1:3" ht="13.2">
      <c r="A182" s="59"/>
      <c r="B182" s="60"/>
      <c r="C182" s="60"/>
    </row>
    <row r="183" spans="1:3" ht="13.2">
      <c r="A183" s="59"/>
      <c r="B183" s="60"/>
      <c r="C183" s="60"/>
    </row>
    <row r="184" spans="1:3" ht="13.2">
      <c r="A184" s="59"/>
      <c r="B184" s="60"/>
      <c r="C184" s="60"/>
    </row>
    <row r="185" spans="1:3" ht="13.2">
      <c r="A185" s="59"/>
      <c r="B185" s="60"/>
      <c r="C185" s="60"/>
    </row>
    <row r="186" spans="1:3" ht="13.2">
      <c r="A186" s="59"/>
      <c r="B186" s="60"/>
      <c r="C186" s="60"/>
    </row>
    <row r="187" spans="1:3" ht="13.2">
      <c r="A187" s="59"/>
      <c r="B187" s="60"/>
      <c r="C187" s="60"/>
    </row>
    <row r="188" spans="1:3" ht="13.2">
      <c r="A188" s="59"/>
      <c r="B188" s="60"/>
      <c r="C188" s="60"/>
    </row>
    <row r="189" spans="1:3" ht="13.2">
      <c r="A189" s="59"/>
      <c r="B189" s="60"/>
      <c r="C189" s="60"/>
    </row>
    <row r="190" spans="1:3" ht="13.2">
      <c r="A190" s="59"/>
      <c r="B190" s="60"/>
      <c r="C190" s="60"/>
    </row>
    <row r="191" spans="1:3" ht="13.2">
      <c r="A191" s="59"/>
      <c r="B191" s="60"/>
      <c r="C191" s="60"/>
    </row>
    <row r="192" spans="1:3" ht="13.2">
      <c r="A192" s="59"/>
      <c r="B192" s="60"/>
      <c r="C192" s="60"/>
    </row>
    <row r="193" spans="1:3" ht="13.2">
      <c r="A193" s="59"/>
      <c r="B193" s="60"/>
      <c r="C193" s="60"/>
    </row>
    <row r="194" spans="1:3" ht="13.2">
      <c r="A194" s="59"/>
      <c r="B194" s="60"/>
      <c r="C194" s="60"/>
    </row>
    <row r="195" spans="1:3" ht="13.2">
      <c r="A195" s="59"/>
      <c r="B195" s="60"/>
      <c r="C195" s="60"/>
    </row>
    <row r="196" spans="1:3" ht="13.2">
      <c r="A196" s="59"/>
      <c r="B196" s="60"/>
      <c r="C196" s="60"/>
    </row>
    <row r="197" spans="1:3" ht="13.2">
      <c r="A197" s="59"/>
      <c r="B197" s="60"/>
      <c r="C197" s="60"/>
    </row>
    <row r="198" spans="1:3" ht="13.2">
      <c r="A198" s="59"/>
      <c r="B198" s="60"/>
      <c r="C198" s="60"/>
    </row>
    <row r="199" spans="1:3" ht="13.2">
      <c r="A199" s="59"/>
      <c r="B199" s="60"/>
      <c r="C199" s="60"/>
    </row>
    <row r="200" spans="1:3" ht="13.2">
      <c r="A200" s="59"/>
      <c r="B200" s="60"/>
      <c r="C200" s="60"/>
    </row>
    <row r="201" spans="1:3" ht="13.2">
      <c r="A201" s="59"/>
      <c r="B201" s="60"/>
      <c r="C201" s="60"/>
    </row>
    <row r="202" spans="1:3" ht="13.2">
      <c r="A202" s="59"/>
      <c r="B202" s="60"/>
      <c r="C202" s="60"/>
    </row>
    <row r="203" spans="1:3" ht="13.2">
      <c r="A203" s="59"/>
      <c r="B203" s="60"/>
      <c r="C203" s="60"/>
    </row>
    <row r="204" spans="1:3" ht="13.2">
      <c r="A204" s="59"/>
      <c r="B204" s="60"/>
      <c r="C204" s="60"/>
    </row>
    <row r="205" spans="1:3" ht="13.2">
      <c r="A205" s="59"/>
      <c r="B205" s="60"/>
      <c r="C205" s="60"/>
    </row>
    <row r="206" spans="1:3" ht="13.2">
      <c r="A206" s="59"/>
      <c r="B206" s="60"/>
      <c r="C206" s="60"/>
    </row>
    <row r="207" spans="1:3" ht="13.2">
      <c r="A207" s="59"/>
      <c r="B207" s="60"/>
      <c r="C207" s="60"/>
    </row>
    <row r="208" spans="1:3" ht="13.2">
      <c r="A208" s="59"/>
      <c r="B208" s="60"/>
      <c r="C208" s="60"/>
    </row>
    <row r="209" spans="1:3" ht="13.2">
      <c r="A209" s="59"/>
      <c r="B209" s="60"/>
      <c r="C209" s="60"/>
    </row>
    <row r="210" spans="1:3" ht="13.2">
      <c r="A210" s="59"/>
      <c r="B210" s="60"/>
      <c r="C210" s="60"/>
    </row>
    <row r="211" spans="1:3" ht="13.2">
      <c r="A211" s="59"/>
      <c r="B211" s="60"/>
      <c r="C211" s="60"/>
    </row>
    <row r="212" spans="1:3" ht="13.2">
      <c r="A212" s="59"/>
      <c r="B212" s="60"/>
      <c r="C212" s="60"/>
    </row>
    <row r="213" spans="1:3" ht="13.2">
      <c r="A213" s="59"/>
      <c r="B213" s="60"/>
      <c r="C213" s="60"/>
    </row>
    <row r="214" spans="1:3" ht="13.2">
      <c r="A214" s="59"/>
      <c r="B214" s="60"/>
      <c r="C214" s="60"/>
    </row>
    <row r="215" spans="1:3" ht="13.2">
      <c r="A215" s="59"/>
      <c r="B215" s="60"/>
      <c r="C215" s="60"/>
    </row>
    <row r="216" spans="1:3" ht="13.2">
      <c r="A216" s="59"/>
      <c r="B216" s="60"/>
      <c r="C216" s="60"/>
    </row>
    <row r="217" spans="1:3" ht="13.2">
      <c r="A217" s="59"/>
      <c r="B217" s="60"/>
      <c r="C217" s="60"/>
    </row>
    <row r="218" spans="1:3" ht="13.2">
      <c r="A218" s="59"/>
      <c r="B218" s="60"/>
      <c r="C218" s="60"/>
    </row>
    <row r="219" spans="1:3" ht="13.2">
      <c r="A219" s="59"/>
      <c r="B219" s="60"/>
      <c r="C219" s="60"/>
    </row>
    <row r="220" spans="1:3" ht="13.2">
      <c r="A220" s="59"/>
      <c r="B220" s="60"/>
      <c r="C220" s="60"/>
    </row>
    <row r="221" spans="1:3" ht="13.2">
      <c r="A221" s="59"/>
      <c r="B221" s="60"/>
      <c r="C221" s="60"/>
    </row>
    <row r="222" spans="1:3" ht="13.2">
      <c r="A222" s="59"/>
      <c r="B222" s="60"/>
      <c r="C222" s="60"/>
    </row>
    <row r="223" spans="1:3" ht="13.2">
      <c r="A223" s="59"/>
      <c r="B223" s="60"/>
      <c r="C223" s="60"/>
    </row>
    <row r="224" spans="1:3" ht="13.2">
      <c r="A224" s="59"/>
      <c r="B224" s="60"/>
      <c r="C224" s="60"/>
    </row>
    <row r="225" spans="1:3" ht="13.2">
      <c r="A225" s="59"/>
      <c r="B225" s="60"/>
      <c r="C225" s="60"/>
    </row>
    <row r="226" spans="1:3" ht="13.2">
      <c r="A226" s="59"/>
      <c r="B226" s="60"/>
      <c r="C226" s="60"/>
    </row>
    <row r="227" spans="1:3" ht="13.2">
      <c r="A227" s="59"/>
      <c r="B227" s="60"/>
      <c r="C227" s="60"/>
    </row>
    <row r="228" spans="1:3" ht="13.2">
      <c r="A228" s="59"/>
      <c r="B228" s="60"/>
      <c r="C228" s="60"/>
    </row>
    <row r="229" spans="1:3" ht="13.2">
      <c r="A229" s="59"/>
      <c r="B229" s="60"/>
      <c r="C229" s="60"/>
    </row>
    <row r="230" spans="1:3" ht="13.2">
      <c r="A230" s="59"/>
      <c r="B230" s="60"/>
      <c r="C230" s="60"/>
    </row>
    <row r="231" spans="1:3" ht="13.2">
      <c r="A231" s="59"/>
      <c r="B231" s="60"/>
      <c r="C231" s="60"/>
    </row>
    <row r="232" spans="1:3" ht="13.2">
      <c r="A232" s="59"/>
      <c r="B232" s="60"/>
      <c r="C232" s="60"/>
    </row>
    <row r="233" spans="1:3" ht="13.2">
      <c r="A233" s="59"/>
      <c r="B233" s="60"/>
      <c r="C233" s="60"/>
    </row>
    <row r="234" spans="1:3" ht="13.2">
      <c r="A234" s="59"/>
      <c r="B234" s="60"/>
      <c r="C234" s="60"/>
    </row>
    <row r="235" spans="1:3" ht="13.2">
      <c r="A235" s="59"/>
      <c r="B235" s="60"/>
      <c r="C235" s="60"/>
    </row>
    <row r="236" spans="1:3" ht="13.2">
      <c r="A236" s="59"/>
      <c r="B236" s="60"/>
      <c r="C236" s="60"/>
    </row>
    <row r="237" spans="1:3" ht="13.2">
      <c r="A237" s="59"/>
      <c r="B237" s="60"/>
      <c r="C237" s="60"/>
    </row>
    <row r="238" spans="1:3" ht="13.2">
      <c r="A238" s="59"/>
      <c r="B238" s="60"/>
      <c r="C238" s="60"/>
    </row>
    <row r="239" spans="1:3" ht="13.2">
      <c r="A239" s="59"/>
      <c r="B239" s="60"/>
      <c r="C239" s="60"/>
    </row>
    <row r="240" spans="1:3" ht="13.2">
      <c r="A240" s="59"/>
      <c r="B240" s="60"/>
      <c r="C240" s="60"/>
    </row>
    <row r="241" spans="1:3" ht="13.2">
      <c r="A241" s="59"/>
      <c r="B241" s="60"/>
      <c r="C241" s="60"/>
    </row>
    <row r="242" spans="1:3" ht="13.2">
      <c r="A242" s="59"/>
      <c r="B242" s="60"/>
      <c r="C242" s="60"/>
    </row>
    <row r="243" spans="1:3" ht="13.2">
      <c r="A243" s="59"/>
      <c r="B243" s="60"/>
      <c r="C243" s="60"/>
    </row>
    <row r="244" spans="1:3" ht="13.2">
      <c r="A244" s="59"/>
      <c r="B244" s="60"/>
      <c r="C244" s="60"/>
    </row>
    <row r="245" spans="1:3" ht="13.2">
      <c r="A245" s="59"/>
      <c r="B245" s="60"/>
      <c r="C245" s="60"/>
    </row>
    <row r="246" spans="1:3" ht="13.2">
      <c r="A246" s="59"/>
      <c r="B246" s="60"/>
      <c r="C246" s="60"/>
    </row>
    <row r="247" spans="1:3" ht="13.2">
      <c r="A247" s="59"/>
      <c r="B247" s="60"/>
      <c r="C247" s="60"/>
    </row>
    <row r="248" spans="1:3" ht="13.2">
      <c r="A248" s="59"/>
      <c r="B248" s="60"/>
      <c r="C248" s="60"/>
    </row>
    <row r="249" spans="1:3" ht="13.2">
      <c r="A249" s="59"/>
      <c r="B249" s="60"/>
      <c r="C249" s="60"/>
    </row>
    <row r="250" spans="1:3" ht="13.2">
      <c r="A250" s="59"/>
      <c r="B250" s="60"/>
      <c r="C250" s="60"/>
    </row>
    <row r="251" spans="1:3" ht="13.2">
      <c r="A251" s="59"/>
      <c r="B251" s="60"/>
      <c r="C251" s="60"/>
    </row>
    <row r="252" spans="1:3" ht="13.2">
      <c r="A252" s="59"/>
      <c r="B252" s="60"/>
      <c r="C252" s="60"/>
    </row>
    <row r="253" spans="1:3" ht="13.2">
      <c r="A253" s="59"/>
      <c r="B253" s="60"/>
      <c r="C253" s="60"/>
    </row>
    <row r="254" spans="1:3" ht="13.2">
      <c r="A254" s="59"/>
      <c r="B254" s="60"/>
      <c r="C254" s="60"/>
    </row>
    <row r="255" spans="1:3" ht="13.2">
      <c r="A255" s="59"/>
      <c r="B255" s="60"/>
      <c r="C255" s="60"/>
    </row>
    <row r="256" spans="1:3" ht="13.2">
      <c r="A256" s="59"/>
      <c r="B256" s="60"/>
      <c r="C256" s="60"/>
    </row>
    <row r="257" spans="1:3" ht="13.2">
      <c r="A257" s="59"/>
      <c r="B257" s="60"/>
      <c r="C257" s="60"/>
    </row>
    <row r="258" spans="1:3" ht="13.2">
      <c r="A258" s="59"/>
      <c r="B258" s="60"/>
      <c r="C258" s="60"/>
    </row>
    <row r="259" spans="1:3" ht="13.2">
      <c r="A259" s="59"/>
      <c r="B259" s="60"/>
      <c r="C259" s="60"/>
    </row>
    <row r="260" spans="1:3" ht="13.2">
      <c r="A260" s="59"/>
      <c r="B260" s="60"/>
      <c r="C260" s="60"/>
    </row>
    <row r="261" spans="1:3" ht="13.2">
      <c r="A261" s="59"/>
      <c r="B261" s="60"/>
      <c r="C261" s="60"/>
    </row>
    <row r="262" spans="1:3" ht="13.2">
      <c r="A262" s="59"/>
      <c r="B262" s="60"/>
      <c r="C262" s="60"/>
    </row>
    <row r="263" spans="1:3" ht="13.2">
      <c r="A263" s="59"/>
      <c r="B263" s="60"/>
      <c r="C263" s="60"/>
    </row>
    <row r="264" spans="1:3" ht="13.2">
      <c r="A264" s="59"/>
      <c r="B264" s="60"/>
      <c r="C264" s="60"/>
    </row>
    <row r="265" spans="1:3" ht="13.2">
      <c r="A265" s="59"/>
      <c r="B265" s="60"/>
      <c r="C265" s="60"/>
    </row>
    <row r="266" spans="1:3" ht="13.2">
      <c r="A266" s="59"/>
      <c r="B266" s="60"/>
      <c r="C266" s="60"/>
    </row>
    <row r="267" spans="1:3" ht="13.2">
      <c r="A267" s="59"/>
      <c r="B267" s="60"/>
      <c r="C267" s="60"/>
    </row>
    <row r="268" spans="1:3" ht="13.2">
      <c r="A268" s="59"/>
      <c r="B268" s="60"/>
      <c r="C268" s="60"/>
    </row>
    <row r="269" spans="1:3" ht="13.2">
      <c r="A269" s="59"/>
      <c r="B269" s="60"/>
      <c r="C269" s="60"/>
    </row>
    <row r="270" spans="1:3" ht="13.2">
      <c r="A270" s="59"/>
      <c r="B270" s="60"/>
      <c r="C270" s="60"/>
    </row>
    <row r="271" spans="1:3" ht="13.2">
      <c r="A271" s="59"/>
      <c r="B271" s="60"/>
      <c r="C271" s="60"/>
    </row>
    <row r="272" spans="1:3" ht="13.2">
      <c r="A272" s="59"/>
      <c r="B272" s="60"/>
      <c r="C272" s="60"/>
    </row>
    <row r="273" spans="1:3" ht="13.2">
      <c r="A273" s="59"/>
      <c r="B273" s="60"/>
      <c r="C273" s="60"/>
    </row>
    <row r="274" spans="1:3" ht="13.2">
      <c r="A274" s="59"/>
      <c r="B274" s="60"/>
      <c r="C274" s="60"/>
    </row>
    <row r="275" spans="1:3" ht="13.2">
      <c r="A275" s="59"/>
      <c r="B275" s="60"/>
      <c r="C275" s="60"/>
    </row>
    <row r="276" spans="1:3" ht="13.2">
      <c r="A276" s="59"/>
      <c r="B276" s="60"/>
      <c r="C276" s="60"/>
    </row>
    <row r="277" spans="1:3" ht="13.2">
      <c r="A277" s="59"/>
      <c r="B277" s="60"/>
      <c r="C277" s="60"/>
    </row>
    <row r="278" spans="1:3" ht="13.2">
      <c r="A278" s="59"/>
      <c r="B278" s="60"/>
      <c r="C278" s="60"/>
    </row>
    <row r="279" spans="1:3" ht="13.2">
      <c r="A279" s="59"/>
      <c r="B279" s="60"/>
      <c r="C279" s="60"/>
    </row>
    <row r="280" spans="1:3" ht="13.2">
      <c r="A280" s="59"/>
      <c r="B280" s="60"/>
      <c r="C280" s="60"/>
    </row>
    <row r="281" spans="1:3" ht="13.2">
      <c r="A281" s="59"/>
      <c r="B281" s="60"/>
      <c r="C281" s="60"/>
    </row>
    <row r="282" spans="1:3" ht="13.2">
      <c r="A282" s="59"/>
      <c r="B282" s="60"/>
      <c r="C282" s="60"/>
    </row>
    <row r="283" spans="1:3" ht="13.2">
      <c r="A283" s="59"/>
      <c r="B283" s="60"/>
      <c r="C283" s="60"/>
    </row>
    <row r="284" spans="1:3" ht="13.2">
      <c r="A284" s="59"/>
      <c r="B284" s="60"/>
      <c r="C284" s="60"/>
    </row>
    <row r="285" spans="1:3" ht="13.2">
      <c r="A285" s="59"/>
      <c r="B285" s="60"/>
      <c r="C285" s="60"/>
    </row>
    <row r="286" spans="1:3" ht="13.2">
      <c r="A286" s="59"/>
      <c r="B286" s="60"/>
      <c r="C286" s="60"/>
    </row>
    <row r="287" spans="1:3" ht="13.2">
      <c r="A287" s="59"/>
      <c r="B287" s="60"/>
      <c r="C287" s="60"/>
    </row>
    <row r="288" spans="1:3" ht="13.2">
      <c r="A288" s="59"/>
      <c r="B288" s="60"/>
      <c r="C288" s="60"/>
    </row>
    <row r="289" spans="1:3" ht="13.2">
      <c r="A289" s="59"/>
      <c r="B289" s="60"/>
      <c r="C289" s="60"/>
    </row>
    <row r="290" spans="1:3" ht="13.2">
      <c r="A290" s="59"/>
      <c r="B290" s="60"/>
      <c r="C290" s="60"/>
    </row>
    <row r="291" spans="1:3" ht="13.2">
      <c r="A291" s="59"/>
      <c r="B291" s="60"/>
      <c r="C291" s="60"/>
    </row>
    <row r="292" spans="1:3" ht="13.2">
      <c r="A292" s="59"/>
      <c r="B292" s="60"/>
      <c r="C292" s="60"/>
    </row>
    <row r="293" spans="1:3" ht="13.2">
      <c r="A293" s="59"/>
      <c r="B293" s="60"/>
      <c r="C293" s="60"/>
    </row>
    <row r="294" spans="1:3" ht="13.2">
      <c r="A294" s="59"/>
      <c r="B294" s="60"/>
      <c r="C294" s="60"/>
    </row>
    <row r="295" spans="1:3" ht="13.2">
      <c r="A295" s="59"/>
      <c r="B295" s="60"/>
      <c r="C295" s="60"/>
    </row>
    <row r="296" spans="1:3" ht="13.2">
      <c r="A296" s="59"/>
      <c r="B296" s="60"/>
      <c r="C296" s="60"/>
    </row>
    <row r="297" spans="1:3" ht="13.2">
      <c r="A297" s="59"/>
      <c r="B297" s="60"/>
      <c r="C297" s="60"/>
    </row>
    <row r="298" spans="1:3" ht="13.2">
      <c r="A298" s="59"/>
      <c r="B298" s="60"/>
      <c r="C298" s="60"/>
    </row>
    <row r="299" spans="1:3" ht="13.2">
      <c r="A299" s="59"/>
      <c r="B299" s="60"/>
      <c r="C299" s="60"/>
    </row>
    <row r="300" spans="1:3" ht="13.2">
      <c r="A300" s="59"/>
      <c r="B300" s="60"/>
      <c r="C300" s="60"/>
    </row>
    <row r="301" spans="1:3" ht="13.2">
      <c r="A301" s="59"/>
      <c r="B301" s="60"/>
      <c r="C301" s="60"/>
    </row>
    <row r="302" spans="1:3" ht="13.2">
      <c r="A302" s="59"/>
      <c r="B302" s="60"/>
      <c r="C302" s="60"/>
    </row>
    <row r="303" spans="1:3" ht="13.2">
      <c r="A303" s="59"/>
      <c r="B303" s="60"/>
      <c r="C303" s="60"/>
    </row>
    <row r="304" spans="1:3" ht="13.2">
      <c r="A304" s="59"/>
      <c r="B304" s="60"/>
      <c r="C304" s="60"/>
    </row>
    <row r="305" spans="1:3" ht="13.2">
      <c r="A305" s="59"/>
      <c r="B305" s="60"/>
      <c r="C305" s="60"/>
    </row>
    <row r="306" spans="1:3" ht="13.2">
      <c r="A306" s="59"/>
      <c r="B306" s="60"/>
      <c r="C306" s="60"/>
    </row>
    <row r="307" spans="1:3" ht="13.2">
      <c r="A307" s="59"/>
      <c r="B307" s="60"/>
      <c r="C307" s="60"/>
    </row>
    <row r="308" spans="1:3" ht="13.2">
      <c r="A308" s="59"/>
      <c r="B308" s="60"/>
      <c r="C308" s="60"/>
    </row>
    <row r="309" spans="1:3" ht="13.2">
      <c r="A309" s="59"/>
      <c r="B309" s="60"/>
      <c r="C309" s="60"/>
    </row>
    <row r="310" spans="1:3" ht="13.2">
      <c r="A310" s="59"/>
      <c r="B310" s="60"/>
      <c r="C310" s="60"/>
    </row>
    <row r="311" spans="1:3" ht="13.2">
      <c r="A311" s="59"/>
      <c r="B311" s="60"/>
      <c r="C311" s="60"/>
    </row>
    <row r="312" spans="1:3" ht="13.2">
      <c r="A312" s="59"/>
      <c r="B312" s="60"/>
      <c r="C312" s="60"/>
    </row>
    <row r="313" spans="1:3" ht="13.2">
      <c r="A313" s="59"/>
      <c r="B313" s="60"/>
      <c r="C313" s="60"/>
    </row>
    <row r="314" spans="1:3" ht="13.2">
      <c r="A314" s="59"/>
      <c r="B314" s="60"/>
      <c r="C314" s="60"/>
    </row>
    <row r="315" spans="1:3" ht="13.2">
      <c r="A315" s="59"/>
      <c r="B315" s="60"/>
      <c r="C315" s="60"/>
    </row>
    <row r="316" spans="1:3" ht="13.2">
      <c r="A316" s="59"/>
      <c r="B316" s="60"/>
      <c r="C316" s="60"/>
    </row>
    <row r="317" spans="1:3" ht="13.2">
      <c r="A317" s="59"/>
      <c r="B317" s="60"/>
      <c r="C317" s="60"/>
    </row>
    <row r="318" spans="1:3" ht="13.2">
      <c r="A318" s="59"/>
      <c r="B318" s="60"/>
      <c r="C318" s="60"/>
    </row>
    <row r="319" spans="1:3" ht="13.2">
      <c r="A319" s="59"/>
      <c r="B319" s="60"/>
      <c r="C319" s="60"/>
    </row>
    <row r="320" spans="1:3" ht="13.2">
      <c r="A320" s="59"/>
      <c r="B320" s="60"/>
      <c r="C320" s="60"/>
    </row>
    <row r="321" spans="1:3" ht="13.2">
      <c r="A321" s="59"/>
      <c r="B321" s="60"/>
      <c r="C321" s="60"/>
    </row>
    <row r="322" spans="1:3" ht="13.2">
      <c r="A322" s="59"/>
      <c r="B322" s="60"/>
      <c r="C322" s="60"/>
    </row>
    <row r="323" spans="1:3" ht="13.2">
      <c r="A323" s="59"/>
      <c r="B323" s="60"/>
      <c r="C323" s="60"/>
    </row>
    <row r="324" spans="1:3" ht="13.2">
      <c r="A324" s="59"/>
      <c r="B324" s="60"/>
      <c r="C324" s="60"/>
    </row>
    <row r="325" spans="1:3" ht="13.2">
      <c r="A325" s="59"/>
      <c r="B325" s="60"/>
      <c r="C325" s="60"/>
    </row>
    <row r="326" spans="1:3" ht="13.2">
      <c r="A326" s="59"/>
      <c r="B326" s="60"/>
      <c r="C326" s="60"/>
    </row>
    <row r="327" spans="1:3" ht="13.2">
      <c r="A327" s="59"/>
      <c r="B327" s="60"/>
      <c r="C327" s="60"/>
    </row>
    <row r="328" spans="1:3" ht="13.2">
      <c r="A328" s="59"/>
      <c r="B328" s="60"/>
      <c r="C328" s="60"/>
    </row>
    <row r="329" spans="1:3" ht="13.2">
      <c r="A329" s="59"/>
      <c r="B329" s="60"/>
      <c r="C329" s="60"/>
    </row>
    <row r="330" spans="1:3" ht="13.2">
      <c r="A330" s="59"/>
      <c r="B330" s="60"/>
      <c r="C330" s="60"/>
    </row>
    <row r="331" spans="1:3" ht="13.2">
      <c r="A331" s="59"/>
      <c r="B331" s="60"/>
      <c r="C331" s="60"/>
    </row>
    <row r="332" spans="1:3" ht="13.2">
      <c r="A332" s="59"/>
      <c r="B332" s="60"/>
      <c r="C332" s="60"/>
    </row>
    <row r="333" spans="1:3" ht="13.2">
      <c r="A333" s="59"/>
      <c r="B333" s="60"/>
      <c r="C333" s="60"/>
    </row>
    <row r="334" spans="1:3" ht="13.2">
      <c r="A334" s="59"/>
      <c r="B334" s="60"/>
      <c r="C334" s="60"/>
    </row>
    <row r="335" spans="1:3" ht="13.2">
      <c r="A335" s="59"/>
      <c r="B335" s="60"/>
      <c r="C335" s="60"/>
    </row>
    <row r="336" spans="1:3" ht="13.2">
      <c r="A336" s="59"/>
      <c r="B336" s="60"/>
      <c r="C336" s="60"/>
    </row>
    <row r="337" spans="1:3" ht="13.2">
      <c r="A337" s="59"/>
      <c r="B337" s="60"/>
      <c r="C337" s="60"/>
    </row>
    <row r="338" spans="1:3" ht="13.2">
      <c r="A338" s="59"/>
      <c r="B338" s="60"/>
      <c r="C338" s="60"/>
    </row>
    <row r="339" spans="1:3" ht="13.2">
      <c r="A339" s="59"/>
      <c r="B339" s="60"/>
      <c r="C339" s="60"/>
    </row>
    <row r="340" spans="1:3" ht="13.2">
      <c r="A340" s="59"/>
      <c r="B340" s="60"/>
      <c r="C340" s="60"/>
    </row>
    <row r="341" spans="1:3" ht="13.2">
      <c r="A341" s="59"/>
      <c r="B341" s="60"/>
      <c r="C341" s="60"/>
    </row>
    <row r="342" spans="1:3" ht="13.2">
      <c r="A342" s="59"/>
      <c r="B342" s="60"/>
      <c r="C342" s="60"/>
    </row>
    <row r="343" spans="1:3" ht="13.2">
      <c r="A343" s="59"/>
      <c r="B343" s="60"/>
      <c r="C343" s="60"/>
    </row>
    <row r="344" spans="1:3" ht="13.2">
      <c r="A344" s="59"/>
      <c r="B344" s="60"/>
      <c r="C344" s="60"/>
    </row>
    <row r="345" spans="1:3" ht="13.2">
      <c r="A345" s="59"/>
      <c r="B345" s="60"/>
      <c r="C345" s="60"/>
    </row>
    <row r="346" spans="1:3" ht="13.2">
      <c r="A346" s="59"/>
      <c r="B346" s="60"/>
      <c r="C346" s="60"/>
    </row>
    <row r="347" spans="1:3" ht="13.2">
      <c r="A347" s="59"/>
      <c r="B347" s="60"/>
      <c r="C347" s="60"/>
    </row>
    <row r="348" spans="1:3" ht="13.2">
      <c r="A348" s="59"/>
      <c r="B348" s="60"/>
      <c r="C348" s="60"/>
    </row>
    <row r="349" spans="1:3" ht="13.2">
      <c r="A349" s="59"/>
      <c r="B349" s="60"/>
      <c r="C349" s="60"/>
    </row>
    <row r="350" spans="1:3" ht="13.2">
      <c r="A350" s="59"/>
      <c r="B350" s="60"/>
      <c r="C350" s="60"/>
    </row>
    <row r="351" spans="1:3" ht="13.2">
      <c r="A351" s="59"/>
      <c r="B351" s="60"/>
      <c r="C351" s="60"/>
    </row>
    <row r="352" spans="1:3" ht="13.2">
      <c r="A352" s="59"/>
      <c r="B352" s="60"/>
      <c r="C352" s="60"/>
    </row>
    <row r="353" spans="1:3" ht="13.2">
      <c r="A353" s="59"/>
      <c r="B353" s="60"/>
      <c r="C353" s="60"/>
    </row>
    <row r="354" spans="1:3" ht="13.2">
      <c r="A354" s="59"/>
      <c r="B354" s="60"/>
      <c r="C354" s="60"/>
    </row>
    <row r="355" spans="1:3" ht="13.2">
      <c r="A355" s="59"/>
      <c r="B355" s="60"/>
      <c r="C355" s="60"/>
    </row>
    <row r="356" spans="1:3" ht="13.2">
      <c r="A356" s="59"/>
      <c r="B356" s="60"/>
      <c r="C356" s="60"/>
    </row>
    <row r="357" spans="1:3" ht="13.2">
      <c r="A357" s="59"/>
      <c r="B357" s="60"/>
      <c r="C357" s="60"/>
    </row>
    <row r="358" spans="1:3" ht="13.2">
      <c r="A358" s="59"/>
      <c r="B358" s="60"/>
      <c r="C358" s="60"/>
    </row>
    <row r="359" spans="1:3" ht="13.2">
      <c r="A359" s="59"/>
      <c r="B359" s="60"/>
      <c r="C359" s="60"/>
    </row>
    <row r="360" spans="1:3" ht="13.2">
      <c r="A360" s="59"/>
      <c r="B360" s="60"/>
      <c r="C360" s="60"/>
    </row>
    <row r="361" spans="1:3" ht="13.2">
      <c r="A361" s="59"/>
      <c r="B361" s="60"/>
      <c r="C361" s="60"/>
    </row>
    <row r="362" spans="1:3" ht="13.2">
      <c r="A362" s="59"/>
      <c r="B362" s="60"/>
      <c r="C362" s="60"/>
    </row>
    <row r="363" spans="1:3" ht="13.2">
      <c r="A363" s="59"/>
      <c r="B363" s="60"/>
      <c r="C363" s="60"/>
    </row>
    <row r="364" spans="1:3" ht="13.2">
      <c r="A364" s="59"/>
      <c r="B364" s="60"/>
      <c r="C364" s="60"/>
    </row>
    <row r="365" spans="1:3" ht="13.2">
      <c r="A365" s="59"/>
      <c r="B365" s="60"/>
      <c r="C365" s="60"/>
    </row>
    <row r="366" spans="1:3" ht="13.2">
      <c r="A366" s="59"/>
      <c r="B366" s="60"/>
      <c r="C366" s="60"/>
    </row>
    <row r="367" spans="1:3" ht="13.2">
      <c r="A367" s="59"/>
      <c r="B367" s="60"/>
      <c r="C367" s="60"/>
    </row>
    <row r="368" spans="1:3" ht="13.2">
      <c r="A368" s="59"/>
      <c r="B368" s="60"/>
      <c r="C368" s="60"/>
    </row>
    <row r="369" spans="1:3" ht="13.2">
      <c r="A369" s="59"/>
      <c r="B369" s="60"/>
      <c r="C369" s="60"/>
    </row>
    <row r="370" spans="1:3" ht="13.2">
      <c r="A370" s="59"/>
      <c r="B370" s="60"/>
      <c r="C370" s="60"/>
    </row>
    <row r="371" spans="1:3" ht="13.2">
      <c r="A371" s="59"/>
      <c r="B371" s="60"/>
      <c r="C371" s="60"/>
    </row>
    <row r="372" spans="1:3" ht="13.2">
      <c r="A372" s="59"/>
      <c r="B372" s="60"/>
      <c r="C372" s="60"/>
    </row>
    <row r="373" spans="1:3" ht="13.2">
      <c r="A373" s="59"/>
      <c r="B373" s="60"/>
      <c r="C373" s="60"/>
    </row>
    <row r="374" spans="1:3" ht="13.2">
      <c r="A374" s="59"/>
      <c r="B374" s="60"/>
      <c r="C374" s="60"/>
    </row>
    <row r="375" spans="1:3" ht="13.2">
      <c r="A375" s="59"/>
      <c r="B375" s="60"/>
      <c r="C375" s="60"/>
    </row>
    <row r="376" spans="1:3" ht="13.2">
      <c r="A376" s="59"/>
      <c r="B376" s="60"/>
      <c r="C376" s="60"/>
    </row>
    <row r="377" spans="1:3" ht="13.2">
      <c r="A377" s="59"/>
      <c r="B377" s="60"/>
      <c r="C377" s="60"/>
    </row>
    <row r="378" spans="1:3" ht="13.2">
      <c r="A378" s="59"/>
      <c r="B378" s="60"/>
      <c r="C378" s="60"/>
    </row>
    <row r="379" spans="1:3" ht="13.2">
      <c r="A379" s="59"/>
      <c r="B379" s="60"/>
      <c r="C379" s="60"/>
    </row>
    <row r="380" spans="1:3" ht="13.2">
      <c r="A380" s="59"/>
      <c r="B380" s="60"/>
      <c r="C380" s="60"/>
    </row>
    <row r="381" spans="1:3" ht="13.2">
      <c r="A381" s="59"/>
      <c r="B381" s="60"/>
      <c r="C381" s="60"/>
    </row>
    <row r="382" spans="1:3" ht="13.2">
      <c r="A382" s="59"/>
      <c r="B382" s="60"/>
      <c r="C382" s="60"/>
    </row>
    <row r="383" spans="1:3" ht="13.2">
      <c r="A383" s="59"/>
      <c r="B383" s="60"/>
      <c r="C383" s="60"/>
    </row>
    <row r="384" spans="1:3" ht="13.2">
      <c r="A384" s="59"/>
      <c r="B384" s="60"/>
      <c r="C384" s="60"/>
    </row>
    <row r="385" spans="1:3" ht="13.2">
      <c r="A385" s="59"/>
      <c r="B385" s="60"/>
      <c r="C385" s="60"/>
    </row>
    <row r="386" spans="1:3" ht="13.2">
      <c r="A386" s="59"/>
      <c r="B386" s="60"/>
      <c r="C386" s="60"/>
    </row>
    <row r="387" spans="1:3" ht="13.2">
      <c r="A387" s="59"/>
      <c r="B387" s="60"/>
      <c r="C387" s="60"/>
    </row>
    <row r="388" spans="1:3" ht="13.2">
      <c r="A388" s="59"/>
      <c r="B388" s="60"/>
      <c r="C388" s="60"/>
    </row>
    <row r="389" spans="1:3" ht="13.2">
      <c r="A389" s="59"/>
      <c r="B389" s="60"/>
      <c r="C389" s="60"/>
    </row>
    <row r="390" spans="1:3" ht="13.2">
      <c r="A390" s="59"/>
      <c r="B390" s="60"/>
      <c r="C390" s="60"/>
    </row>
    <row r="391" spans="1:3" ht="13.2">
      <c r="A391" s="59"/>
      <c r="B391" s="60"/>
      <c r="C391" s="60"/>
    </row>
    <row r="392" spans="1:3" ht="13.2">
      <c r="A392" s="59"/>
      <c r="B392" s="60"/>
      <c r="C392" s="60"/>
    </row>
    <row r="393" spans="1:3" ht="13.2">
      <c r="A393" s="59"/>
      <c r="B393" s="60"/>
      <c r="C393" s="60"/>
    </row>
    <row r="394" spans="1:3" ht="13.2">
      <c r="A394" s="59"/>
      <c r="B394" s="60"/>
      <c r="C394" s="60"/>
    </row>
    <row r="395" spans="1:3" ht="13.2">
      <c r="A395" s="59"/>
      <c r="B395" s="60"/>
      <c r="C395" s="60"/>
    </row>
    <row r="396" spans="1:3" ht="13.2">
      <c r="A396" s="59"/>
      <c r="B396" s="60"/>
      <c r="C396" s="60"/>
    </row>
    <row r="397" spans="1:3" ht="13.2">
      <c r="A397" s="59"/>
      <c r="B397" s="60"/>
      <c r="C397" s="60"/>
    </row>
    <row r="398" spans="1:3" ht="13.2">
      <c r="A398" s="59"/>
      <c r="B398" s="60"/>
      <c r="C398" s="60"/>
    </row>
    <row r="399" spans="1:3" ht="13.2">
      <c r="A399" s="59"/>
      <c r="B399" s="60"/>
      <c r="C399" s="60"/>
    </row>
    <row r="400" spans="1:3" ht="13.2">
      <c r="A400" s="59"/>
      <c r="B400" s="60"/>
      <c r="C400" s="60"/>
    </row>
    <row r="401" spans="1:3" ht="13.2">
      <c r="A401" s="59"/>
      <c r="B401" s="60"/>
      <c r="C401" s="60"/>
    </row>
    <row r="402" spans="1:3" ht="13.2">
      <c r="A402" s="59"/>
      <c r="B402" s="60"/>
      <c r="C402" s="60"/>
    </row>
    <row r="403" spans="1:3" ht="13.2">
      <c r="A403" s="59"/>
      <c r="B403" s="60"/>
      <c r="C403" s="60"/>
    </row>
    <row r="404" spans="1:3" ht="13.2">
      <c r="A404" s="59"/>
      <c r="B404" s="60"/>
      <c r="C404" s="60"/>
    </row>
    <row r="405" spans="1:3" ht="13.2">
      <c r="A405" s="59"/>
      <c r="B405" s="60"/>
      <c r="C405" s="60"/>
    </row>
    <row r="406" spans="1:3" ht="13.2">
      <c r="A406" s="59"/>
      <c r="B406" s="60"/>
      <c r="C406" s="60"/>
    </row>
    <row r="407" spans="1:3" ht="13.2">
      <c r="A407" s="59"/>
      <c r="B407" s="60"/>
      <c r="C407" s="60"/>
    </row>
    <row r="408" spans="1:3" ht="13.2">
      <c r="A408" s="59"/>
      <c r="B408" s="60"/>
      <c r="C408" s="60"/>
    </row>
    <row r="409" spans="1:3" ht="13.2">
      <c r="A409" s="59"/>
      <c r="B409" s="60"/>
      <c r="C409" s="60"/>
    </row>
    <row r="410" spans="1:3" ht="13.2">
      <c r="A410" s="59"/>
      <c r="B410" s="60"/>
      <c r="C410" s="60"/>
    </row>
    <row r="411" spans="1:3" ht="13.2">
      <c r="A411" s="59"/>
      <c r="B411" s="60"/>
      <c r="C411" s="60"/>
    </row>
    <row r="412" spans="1:3" ht="13.2">
      <c r="A412" s="59"/>
      <c r="B412" s="60"/>
      <c r="C412" s="60"/>
    </row>
    <row r="413" spans="1:3" ht="13.2">
      <c r="A413" s="59"/>
      <c r="B413" s="60"/>
      <c r="C413" s="60"/>
    </row>
    <row r="414" spans="1:3" ht="13.2">
      <c r="A414" s="59"/>
      <c r="B414" s="60"/>
      <c r="C414" s="60"/>
    </row>
    <row r="415" spans="1:3" ht="13.2">
      <c r="A415" s="59"/>
      <c r="B415" s="60"/>
      <c r="C415" s="60"/>
    </row>
    <row r="416" spans="1:3" ht="13.2">
      <c r="A416" s="59"/>
      <c r="B416" s="60"/>
      <c r="C416" s="60"/>
    </row>
    <row r="417" spans="1:3" ht="13.2">
      <c r="A417" s="59"/>
      <c r="B417" s="60"/>
      <c r="C417" s="60"/>
    </row>
    <row r="418" spans="1:3" ht="13.2">
      <c r="A418" s="59"/>
      <c r="B418" s="60"/>
      <c r="C418" s="60"/>
    </row>
    <row r="419" spans="1:3" ht="13.2">
      <c r="A419" s="59"/>
      <c r="B419" s="60"/>
      <c r="C419" s="60"/>
    </row>
    <row r="420" spans="1:3" ht="13.2">
      <c r="A420" s="59"/>
      <c r="B420" s="60"/>
      <c r="C420" s="60"/>
    </row>
    <row r="421" spans="1:3" ht="13.2">
      <c r="A421" s="59"/>
      <c r="B421" s="60"/>
      <c r="C421" s="60"/>
    </row>
    <row r="422" spans="1:3" ht="13.2">
      <c r="A422" s="59"/>
      <c r="B422" s="60"/>
      <c r="C422" s="60"/>
    </row>
    <row r="423" spans="1:3" ht="13.2">
      <c r="A423" s="59"/>
      <c r="B423" s="60"/>
      <c r="C423" s="60"/>
    </row>
    <row r="424" spans="1:3" ht="13.2">
      <c r="A424" s="59"/>
      <c r="B424" s="60"/>
      <c r="C424" s="60"/>
    </row>
    <row r="425" spans="1:3" ht="13.2">
      <c r="A425" s="59"/>
      <c r="B425" s="60"/>
      <c r="C425" s="60"/>
    </row>
    <row r="426" spans="1:3" ht="13.2">
      <c r="A426" s="59"/>
      <c r="B426" s="60"/>
      <c r="C426" s="60"/>
    </row>
    <row r="427" spans="1:3" ht="13.2">
      <c r="A427" s="59"/>
      <c r="B427" s="60"/>
      <c r="C427" s="60"/>
    </row>
    <row r="428" spans="1:3" ht="13.2">
      <c r="A428" s="59"/>
      <c r="B428" s="60"/>
      <c r="C428" s="60"/>
    </row>
    <row r="429" spans="1:3" ht="13.2">
      <c r="A429" s="59"/>
      <c r="B429" s="60"/>
      <c r="C429" s="60"/>
    </row>
    <row r="430" spans="1:3" ht="13.2">
      <c r="A430" s="59"/>
      <c r="B430" s="60"/>
      <c r="C430" s="60"/>
    </row>
    <row r="431" spans="1:3" ht="13.2">
      <c r="A431" s="59"/>
      <c r="B431" s="60"/>
      <c r="C431" s="60"/>
    </row>
    <row r="432" spans="1:3" ht="13.2">
      <c r="A432" s="59"/>
      <c r="B432" s="60"/>
      <c r="C432" s="60"/>
    </row>
    <row r="433" spans="1:3" ht="13.2">
      <c r="A433" s="59"/>
      <c r="B433" s="60"/>
      <c r="C433" s="60"/>
    </row>
    <row r="434" spans="1:3" ht="13.2">
      <c r="A434" s="59"/>
      <c r="B434" s="60"/>
      <c r="C434" s="60"/>
    </row>
    <row r="435" spans="1:3" ht="13.2">
      <c r="A435" s="59"/>
      <c r="B435" s="60"/>
      <c r="C435" s="60"/>
    </row>
    <row r="436" spans="1:3" ht="13.2">
      <c r="A436" s="59"/>
      <c r="B436" s="60"/>
      <c r="C436" s="60"/>
    </row>
    <row r="437" spans="1:3" ht="13.2">
      <c r="A437" s="59"/>
      <c r="B437" s="60"/>
      <c r="C437" s="60"/>
    </row>
    <row r="438" spans="1:3" ht="13.2">
      <c r="A438" s="59"/>
      <c r="B438" s="60"/>
      <c r="C438" s="60"/>
    </row>
    <row r="439" spans="1:3" ht="13.2">
      <c r="A439" s="59"/>
      <c r="B439" s="60"/>
      <c r="C439" s="60"/>
    </row>
    <row r="440" spans="1:3" ht="13.2">
      <c r="A440" s="59"/>
      <c r="B440" s="60"/>
      <c r="C440" s="60"/>
    </row>
    <row r="441" spans="1:3" ht="13.2">
      <c r="A441" s="59"/>
      <c r="B441" s="60"/>
      <c r="C441" s="60"/>
    </row>
    <row r="442" spans="1:3" ht="13.2">
      <c r="A442" s="59"/>
      <c r="B442" s="60"/>
      <c r="C442" s="60"/>
    </row>
    <row r="443" spans="1:3" ht="13.2">
      <c r="A443" s="59"/>
      <c r="B443" s="60"/>
      <c r="C443" s="60"/>
    </row>
    <row r="444" spans="1:3" ht="13.2">
      <c r="A444" s="59"/>
      <c r="B444" s="60"/>
      <c r="C444" s="60"/>
    </row>
    <row r="445" spans="1:3" ht="13.2">
      <c r="A445" s="59"/>
      <c r="B445" s="60"/>
      <c r="C445" s="60"/>
    </row>
    <row r="446" spans="1:3" ht="13.2">
      <c r="A446" s="59"/>
      <c r="B446" s="60"/>
      <c r="C446" s="60"/>
    </row>
    <row r="447" spans="1:3" ht="13.2">
      <c r="A447" s="59"/>
      <c r="B447" s="60"/>
      <c r="C447" s="60"/>
    </row>
    <row r="448" spans="1:3" ht="13.2">
      <c r="A448" s="59"/>
      <c r="B448" s="60"/>
      <c r="C448" s="60"/>
    </row>
    <row r="449" spans="1:3" ht="13.2">
      <c r="A449" s="59"/>
      <c r="B449" s="60"/>
      <c r="C449" s="60"/>
    </row>
    <row r="450" spans="1:3" ht="13.2">
      <c r="A450" s="59"/>
      <c r="B450" s="60"/>
      <c r="C450" s="60"/>
    </row>
    <row r="451" spans="1:3" ht="13.2">
      <c r="A451" s="59"/>
      <c r="B451" s="60"/>
      <c r="C451" s="60"/>
    </row>
    <row r="452" spans="1:3" ht="13.2">
      <c r="A452" s="59"/>
      <c r="B452" s="60"/>
      <c r="C452" s="60"/>
    </row>
    <row r="453" spans="1:3" ht="13.2">
      <c r="A453" s="59"/>
      <c r="B453" s="60"/>
      <c r="C453" s="60"/>
    </row>
    <row r="454" spans="1:3" ht="13.2">
      <c r="A454" s="59"/>
      <c r="B454" s="60"/>
      <c r="C454" s="60"/>
    </row>
    <row r="455" spans="1:3" ht="13.2">
      <c r="A455" s="59"/>
      <c r="B455" s="60"/>
      <c r="C455" s="60"/>
    </row>
    <row r="456" spans="1:3" ht="13.2">
      <c r="A456" s="59"/>
      <c r="B456" s="60"/>
      <c r="C456" s="60"/>
    </row>
    <row r="457" spans="1:3" ht="13.2">
      <c r="A457" s="59"/>
      <c r="B457" s="60"/>
      <c r="C457" s="60"/>
    </row>
    <row r="458" spans="1:3" ht="13.2">
      <c r="A458" s="59"/>
      <c r="B458" s="60"/>
      <c r="C458" s="60"/>
    </row>
    <row r="459" spans="1:3" ht="13.2">
      <c r="A459" s="59"/>
      <c r="B459" s="60"/>
      <c r="C459" s="60"/>
    </row>
    <row r="460" spans="1:3" ht="13.2">
      <c r="A460" s="59"/>
      <c r="B460" s="60"/>
      <c r="C460" s="60"/>
    </row>
    <row r="461" spans="1:3" ht="13.2">
      <c r="A461" s="59"/>
      <c r="B461" s="60"/>
      <c r="C461" s="60"/>
    </row>
    <row r="462" spans="1:3" ht="13.2">
      <c r="A462" s="59"/>
      <c r="B462" s="60"/>
      <c r="C462" s="60"/>
    </row>
    <row r="463" spans="1:3" ht="13.2">
      <c r="A463" s="59"/>
      <c r="B463" s="60"/>
      <c r="C463" s="60"/>
    </row>
    <row r="464" spans="1:3" ht="13.2">
      <c r="A464" s="59"/>
      <c r="B464" s="60"/>
      <c r="C464" s="60"/>
    </row>
    <row r="465" spans="1:3" ht="13.2">
      <c r="A465" s="59"/>
      <c r="B465" s="60"/>
      <c r="C465" s="60"/>
    </row>
    <row r="466" spans="1:3" ht="13.2">
      <c r="A466" s="59"/>
      <c r="B466" s="60"/>
      <c r="C466" s="60"/>
    </row>
    <row r="467" spans="1:3" ht="13.2">
      <c r="A467" s="59"/>
      <c r="B467" s="60"/>
      <c r="C467" s="60"/>
    </row>
    <row r="468" spans="1:3" ht="13.2">
      <c r="A468" s="59"/>
      <c r="B468" s="60"/>
      <c r="C468" s="60"/>
    </row>
    <row r="469" spans="1:3" ht="13.2">
      <c r="A469" s="59"/>
      <c r="B469" s="60"/>
      <c r="C469" s="60"/>
    </row>
    <row r="470" spans="1:3" ht="13.2">
      <c r="A470" s="59"/>
      <c r="B470" s="60"/>
      <c r="C470" s="60"/>
    </row>
    <row r="471" spans="1:3" ht="13.2">
      <c r="A471" s="59"/>
      <c r="B471" s="60"/>
      <c r="C471" s="60"/>
    </row>
    <row r="472" spans="1:3" ht="13.2">
      <c r="A472" s="59"/>
      <c r="B472" s="60"/>
      <c r="C472" s="60"/>
    </row>
    <row r="473" spans="1:3" ht="13.2">
      <c r="A473" s="59"/>
      <c r="B473" s="60"/>
      <c r="C473" s="60"/>
    </row>
    <row r="474" spans="1:3" ht="13.2">
      <c r="A474" s="59"/>
      <c r="B474" s="60"/>
      <c r="C474" s="60"/>
    </row>
    <row r="475" spans="1:3" ht="13.2">
      <c r="A475" s="59"/>
      <c r="B475" s="60"/>
      <c r="C475" s="60"/>
    </row>
    <row r="476" spans="1:3" ht="13.2">
      <c r="A476" s="59"/>
      <c r="B476" s="60"/>
      <c r="C476" s="60"/>
    </row>
    <row r="477" spans="1:3" ht="13.2">
      <c r="A477" s="59"/>
      <c r="B477" s="60"/>
      <c r="C477" s="60"/>
    </row>
    <row r="478" spans="1:3" ht="13.2">
      <c r="A478" s="59"/>
      <c r="B478" s="60"/>
      <c r="C478" s="60"/>
    </row>
    <row r="479" spans="1:3" ht="13.2">
      <c r="A479" s="59"/>
      <c r="B479" s="60"/>
      <c r="C479" s="60"/>
    </row>
    <row r="480" spans="1:3" ht="13.2">
      <c r="A480" s="59"/>
      <c r="B480" s="60"/>
      <c r="C480" s="60"/>
    </row>
    <row r="481" spans="1:3" ht="13.2">
      <c r="A481" s="59"/>
      <c r="B481" s="60"/>
      <c r="C481" s="60"/>
    </row>
    <row r="482" spans="1:3" ht="13.2">
      <c r="A482" s="59"/>
      <c r="B482" s="60"/>
      <c r="C482" s="60"/>
    </row>
    <row r="483" spans="1:3" ht="13.2">
      <c r="A483" s="59"/>
      <c r="B483" s="60"/>
      <c r="C483" s="60"/>
    </row>
    <row r="484" spans="1:3" ht="13.2">
      <c r="A484" s="59"/>
      <c r="B484" s="60"/>
      <c r="C484" s="60"/>
    </row>
    <row r="485" spans="1:3" ht="13.2">
      <c r="A485" s="59"/>
      <c r="B485" s="60"/>
      <c r="C485" s="60"/>
    </row>
    <row r="486" spans="1:3" ht="13.2">
      <c r="A486" s="59"/>
      <c r="B486" s="60"/>
      <c r="C486" s="60"/>
    </row>
    <row r="487" spans="1:3" ht="13.2">
      <c r="A487" s="59"/>
      <c r="B487" s="60"/>
      <c r="C487" s="60"/>
    </row>
    <row r="488" spans="1:3" ht="13.2">
      <c r="A488" s="59"/>
      <c r="B488" s="60"/>
      <c r="C488" s="60"/>
    </row>
    <row r="489" spans="1:3" ht="13.2">
      <c r="A489" s="59"/>
      <c r="B489" s="60"/>
      <c r="C489" s="60"/>
    </row>
    <row r="490" spans="1:3" ht="13.2">
      <c r="A490" s="59"/>
      <c r="B490" s="60"/>
      <c r="C490" s="60"/>
    </row>
    <row r="491" spans="1:3" ht="13.2">
      <c r="A491" s="59"/>
      <c r="B491" s="60"/>
      <c r="C491" s="60"/>
    </row>
    <row r="492" spans="1:3" ht="13.2">
      <c r="A492" s="59"/>
      <c r="B492" s="60"/>
      <c r="C492" s="60"/>
    </row>
    <row r="493" spans="1:3" ht="13.2">
      <c r="A493" s="59"/>
      <c r="B493" s="60"/>
      <c r="C493" s="60"/>
    </row>
    <row r="494" spans="1:3" ht="13.2">
      <c r="A494" s="59"/>
      <c r="B494" s="60"/>
      <c r="C494" s="60"/>
    </row>
    <row r="495" spans="1:3" ht="13.2">
      <c r="A495" s="59"/>
      <c r="B495" s="60"/>
      <c r="C495" s="60"/>
    </row>
    <row r="496" spans="1:3" ht="13.2">
      <c r="A496" s="59"/>
      <c r="B496" s="60"/>
      <c r="C496" s="60"/>
    </row>
    <row r="497" spans="1:3" ht="13.2">
      <c r="A497" s="59"/>
      <c r="B497" s="60"/>
      <c r="C497" s="60"/>
    </row>
    <row r="498" spans="1:3" ht="13.2">
      <c r="A498" s="59"/>
      <c r="B498" s="60"/>
      <c r="C498" s="60"/>
    </row>
    <row r="499" spans="1:3" ht="13.2">
      <c r="A499" s="59"/>
      <c r="B499" s="60"/>
      <c r="C499" s="60"/>
    </row>
    <row r="500" spans="1:3" ht="13.2">
      <c r="A500" s="59"/>
      <c r="B500" s="60"/>
      <c r="C500" s="60"/>
    </row>
    <row r="501" spans="1:3" ht="13.2">
      <c r="A501" s="59"/>
      <c r="B501" s="60"/>
      <c r="C501" s="60"/>
    </row>
    <row r="502" spans="1:3" ht="13.2">
      <c r="A502" s="59"/>
      <c r="B502" s="60"/>
      <c r="C502" s="60"/>
    </row>
    <row r="503" spans="1:3" ht="13.2">
      <c r="A503" s="59"/>
      <c r="B503" s="60"/>
      <c r="C503" s="60"/>
    </row>
    <row r="504" spans="1:3" ht="13.2">
      <c r="A504" s="59"/>
      <c r="B504" s="60"/>
      <c r="C504" s="60"/>
    </row>
    <row r="505" spans="1:3" ht="13.2">
      <c r="A505" s="59"/>
      <c r="B505" s="60"/>
      <c r="C505" s="60"/>
    </row>
    <row r="506" spans="1:3" ht="13.2">
      <c r="A506" s="59"/>
      <c r="B506" s="60"/>
      <c r="C506" s="60"/>
    </row>
    <row r="507" spans="1:3" ht="13.2">
      <c r="A507" s="59"/>
      <c r="B507" s="60"/>
      <c r="C507" s="60"/>
    </row>
    <row r="508" spans="1:3" ht="13.2">
      <c r="A508" s="59"/>
      <c r="B508" s="60"/>
      <c r="C508" s="60"/>
    </row>
    <row r="509" spans="1:3" ht="13.2">
      <c r="A509" s="59"/>
      <c r="B509" s="60"/>
      <c r="C509" s="60"/>
    </row>
    <row r="510" spans="1:3" ht="13.2">
      <c r="A510" s="59"/>
      <c r="B510" s="60"/>
      <c r="C510" s="60"/>
    </row>
    <row r="511" spans="1:3" ht="13.2">
      <c r="A511" s="59"/>
      <c r="B511" s="60"/>
      <c r="C511" s="60"/>
    </row>
    <row r="512" spans="1:3" ht="13.2">
      <c r="A512" s="59"/>
      <c r="B512" s="60"/>
      <c r="C512" s="60"/>
    </row>
    <row r="513" spans="1:3" ht="13.2">
      <c r="A513" s="59"/>
      <c r="B513" s="60"/>
      <c r="C513" s="60"/>
    </row>
    <row r="514" spans="1:3" ht="13.2">
      <c r="A514" s="59"/>
      <c r="B514" s="60"/>
      <c r="C514" s="60"/>
    </row>
    <row r="515" spans="1:3" ht="13.2">
      <c r="A515" s="59"/>
      <c r="B515" s="60"/>
      <c r="C515" s="60"/>
    </row>
    <row r="516" spans="1:3" ht="13.2">
      <c r="A516" s="59"/>
      <c r="B516" s="60"/>
      <c r="C516" s="60"/>
    </row>
    <row r="517" spans="1:3" ht="13.2">
      <c r="A517" s="59"/>
      <c r="B517" s="60"/>
      <c r="C517" s="60"/>
    </row>
    <row r="518" spans="1:3" ht="13.2">
      <c r="A518" s="59"/>
      <c r="B518" s="60"/>
      <c r="C518" s="60"/>
    </row>
    <row r="519" spans="1:3" ht="13.2">
      <c r="A519" s="59"/>
      <c r="B519" s="60"/>
      <c r="C519" s="60"/>
    </row>
    <row r="520" spans="1:3" ht="13.2">
      <c r="A520" s="59"/>
      <c r="B520" s="60"/>
      <c r="C520" s="60"/>
    </row>
    <row r="521" spans="1:3" ht="13.2">
      <c r="A521" s="59"/>
      <c r="B521" s="60"/>
      <c r="C521" s="60"/>
    </row>
    <row r="522" spans="1:3" ht="13.2">
      <c r="A522" s="59"/>
      <c r="B522" s="60"/>
      <c r="C522" s="60"/>
    </row>
    <row r="523" spans="1:3" ht="13.2">
      <c r="A523" s="59"/>
      <c r="B523" s="60"/>
      <c r="C523" s="60"/>
    </row>
    <row r="524" spans="1:3" ht="13.2">
      <c r="A524" s="59"/>
      <c r="B524" s="60"/>
      <c r="C524" s="60"/>
    </row>
    <row r="525" spans="1:3" ht="13.2">
      <c r="A525" s="59"/>
      <c r="B525" s="60"/>
      <c r="C525" s="60"/>
    </row>
    <row r="526" spans="1:3" ht="13.2">
      <c r="A526" s="59"/>
      <c r="B526" s="60"/>
      <c r="C526" s="60"/>
    </row>
    <row r="527" spans="1:3" ht="13.2">
      <c r="A527" s="59"/>
      <c r="B527" s="60"/>
      <c r="C527" s="60"/>
    </row>
    <row r="528" spans="1:3" ht="13.2">
      <c r="A528" s="59"/>
      <c r="B528" s="60"/>
      <c r="C528" s="60"/>
    </row>
    <row r="529" spans="1:3" ht="13.2">
      <c r="A529" s="59"/>
      <c r="B529" s="60"/>
      <c r="C529" s="60"/>
    </row>
    <row r="530" spans="1:3" ht="13.2">
      <c r="A530" s="59"/>
      <c r="B530" s="60"/>
      <c r="C530" s="60"/>
    </row>
    <row r="531" spans="1:3" ht="13.2">
      <c r="A531" s="59"/>
      <c r="B531" s="60"/>
      <c r="C531" s="60"/>
    </row>
    <row r="532" spans="1:3" ht="13.2">
      <c r="A532" s="59"/>
      <c r="B532" s="60"/>
      <c r="C532" s="60"/>
    </row>
    <row r="533" spans="1:3" ht="13.2">
      <c r="A533" s="59"/>
      <c r="B533" s="60"/>
      <c r="C533" s="60"/>
    </row>
    <row r="534" spans="1:3" ht="13.2">
      <c r="A534" s="59"/>
      <c r="B534" s="60"/>
      <c r="C534" s="60"/>
    </row>
    <row r="535" spans="1:3" ht="13.2">
      <c r="A535" s="59"/>
      <c r="B535" s="60"/>
      <c r="C535" s="60"/>
    </row>
    <row r="536" spans="1:3" ht="13.2">
      <c r="A536" s="59"/>
      <c r="B536" s="60"/>
      <c r="C536" s="60"/>
    </row>
    <row r="537" spans="1:3" ht="13.2">
      <c r="A537" s="59"/>
      <c r="B537" s="60"/>
      <c r="C537" s="60"/>
    </row>
    <row r="538" spans="1:3" ht="13.2">
      <c r="A538" s="59"/>
      <c r="B538" s="60"/>
      <c r="C538" s="60"/>
    </row>
    <row r="539" spans="1:3" ht="13.2">
      <c r="A539" s="59"/>
      <c r="B539" s="60"/>
      <c r="C539" s="60"/>
    </row>
    <row r="540" spans="1:3" ht="13.2">
      <c r="A540" s="59"/>
      <c r="B540" s="60"/>
      <c r="C540" s="60"/>
    </row>
    <row r="541" spans="1:3" ht="13.2">
      <c r="A541" s="59"/>
      <c r="B541" s="60"/>
      <c r="C541" s="60"/>
    </row>
    <row r="542" spans="1:3" ht="13.2">
      <c r="A542" s="59"/>
      <c r="B542" s="60"/>
      <c r="C542" s="60"/>
    </row>
    <row r="543" spans="1:3" ht="13.2">
      <c r="A543" s="59"/>
      <c r="B543" s="60"/>
      <c r="C543" s="60"/>
    </row>
    <row r="544" spans="1:3" ht="13.2">
      <c r="A544" s="59"/>
      <c r="B544" s="60"/>
      <c r="C544" s="60"/>
    </row>
    <row r="545" spans="1:3" ht="13.2">
      <c r="A545" s="59"/>
      <c r="B545" s="60"/>
      <c r="C545" s="60"/>
    </row>
    <row r="546" spans="1:3" ht="13.2">
      <c r="A546" s="59"/>
      <c r="B546" s="60"/>
      <c r="C546" s="60"/>
    </row>
    <row r="547" spans="1:3" ht="13.2">
      <c r="A547" s="59"/>
      <c r="B547" s="60"/>
      <c r="C547" s="60"/>
    </row>
    <row r="548" spans="1:3" ht="13.2">
      <c r="A548" s="59"/>
      <c r="B548" s="60"/>
      <c r="C548" s="60"/>
    </row>
    <row r="549" spans="1:3" ht="13.2">
      <c r="A549" s="59"/>
      <c r="B549" s="60"/>
      <c r="C549" s="60"/>
    </row>
    <row r="550" spans="1:3" ht="13.2">
      <c r="A550" s="59"/>
      <c r="B550" s="60"/>
      <c r="C550" s="60"/>
    </row>
    <row r="551" spans="1:3" ht="13.2">
      <c r="A551" s="59"/>
      <c r="B551" s="60"/>
      <c r="C551" s="60"/>
    </row>
    <row r="552" spans="1:3" ht="13.2">
      <c r="A552" s="59"/>
      <c r="B552" s="60"/>
      <c r="C552" s="60"/>
    </row>
    <row r="553" spans="1:3" ht="13.2">
      <c r="A553" s="59"/>
      <c r="B553" s="60"/>
      <c r="C553" s="60"/>
    </row>
    <row r="554" spans="1:3" ht="13.2">
      <c r="A554" s="59"/>
      <c r="B554" s="60"/>
      <c r="C554" s="60"/>
    </row>
    <row r="555" spans="1:3" ht="13.2">
      <c r="A555" s="59"/>
      <c r="B555" s="60"/>
      <c r="C555" s="60"/>
    </row>
    <row r="556" spans="1:3" ht="13.2">
      <c r="A556" s="59"/>
      <c r="B556" s="60"/>
      <c r="C556" s="60"/>
    </row>
    <row r="557" spans="1:3" ht="13.2">
      <c r="A557" s="59"/>
      <c r="B557" s="60"/>
      <c r="C557" s="60"/>
    </row>
    <row r="558" spans="1:3" ht="13.2">
      <c r="A558" s="59"/>
      <c r="B558" s="60"/>
      <c r="C558" s="60"/>
    </row>
    <row r="559" spans="1:3" ht="13.2">
      <c r="A559" s="59"/>
      <c r="B559" s="60"/>
      <c r="C559" s="60"/>
    </row>
    <row r="560" spans="1:3" ht="13.2">
      <c r="A560" s="59"/>
      <c r="B560" s="60"/>
      <c r="C560" s="60"/>
    </row>
    <row r="561" spans="1:3" ht="13.2">
      <c r="A561" s="59"/>
      <c r="B561" s="60"/>
      <c r="C561" s="60"/>
    </row>
    <row r="562" spans="1:3" ht="13.2">
      <c r="A562" s="59"/>
      <c r="B562" s="60"/>
      <c r="C562" s="60"/>
    </row>
    <row r="563" spans="1:3" ht="13.2">
      <c r="A563" s="59"/>
      <c r="B563" s="60"/>
      <c r="C563" s="60"/>
    </row>
    <row r="564" spans="1:3" ht="13.2">
      <c r="A564" s="59"/>
      <c r="B564" s="60"/>
      <c r="C564" s="60"/>
    </row>
    <row r="565" spans="1:3" ht="13.2">
      <c r="A565" s="59"/>
      <c r="B565" s="60"/>
      <c r="C565" s="60"/>
    </row>
    <row r="566" spans="1:3" ht="13.2">
      <c r="A566" s="59"/>
      <c r="B566" s="60"/>
      <c r="C566" s="60"/>
    </row>
    <row r="567" spans="1:3" ht="13.2">
      <c r="A567" s="59"/>
      <c r="B567" s="60"/>
      <c r="C567" s="60"/>
    </row>
    <row r="568" spans="1:3" ht="13.2">
      <c r="A568" s="59"/>
      <c r="B568" s="60"/>
      <c r="C568" s="60"/>
    </row>
    <row r="569" spans="1:3" ht="13.2">
      <c r="A569" s="59"/>
      <c r="B569" s="60"/>
      <c r="C569" s="60"/>
    </row>
    <row r="570" spans="1:3" ht="13.2">
      <c r="A570" s="59"/>
      <c r="B570" s="60"/>
      <c r="C570" s="60"/>
    </row>
    <row r="571" spans="1:3" ht="13.2">
      <c r="A571" s="59"/>
      <c r="B571" s="60"/>
      <c r="C571" s="60"/>
    </row>
    <row r="572" spans="1:3" ht="13.2">
      <c r="A572" s="59"/>
      <c r="B572" s="60"/>
      <c r="C572" s="60"/>
    </row>
    <row r="573" spans="1:3" ht="13.2">
      <c r="A573" s="59"/>
      <c r="B573" s="60"/>
      <c r="C573" s="60"/>
    </row>
    <row r="574" spans="1:3" ht="13.2">
      <c r="A574" s="59"/>
      <c r="B574" s="60"/>
      <c r="C574" s="60"/>
    </row>
    <row r="575" spans="1:3" ht="13.2">
      <c r="A575" s="59"/>
      <c r="B575" s="60"/>
      <c r="C575" s="60"/>
    </row>
    <row r="576" spans="1:3" ht="13.2">
      <c r="A576" s="59"/>
      <c r="B576" s="60"/>
      <c r="C576" s="60"/>
    </row>
    <row r="577" spans="1:3" ht="13.2">
      <c r="A577" s="59"/>
      <c r="B577" s="60"/>
      <c r="C577" s="60"/>
    </row>
    <row r="578" spans="1:3" ht="13.2">
      <c r="A578" s="59"/>
      <c r="B578" s="60"/>
      <c r="C578" s="60"/>
    </row>
    <row r="579" spans="1:3" ht="13.2">
      <c r="A579" s="59"/>
      <c r="B579" s="60"/>
      <c r="C579" s="60"/>
    </row>
    <row r="580" spans="1:3" ht="13.2">
      <c r="A580" s="59"/>
      <c r="B580" s="60"/>
      <c r="C580" s="60"/>
    </row>
    <row r="581" spans="1:3" ht="13.2">
      <c r="A581" s="59"/>
      <c r="B581" s="60"/>
      <c r="C581" s="60"/>
    </row>
    <row r="582" spans="1:3" ht="13.2">
      <c r="A582" s="59"/>
      <c r="B582" s="60"/>
      <c r="C582" s="60"/>
    </row>
    <row r="583" spans="1:3" ht="13.2">
      <c r="A583" s="59"/>
      <c r="B583" s="60"/>
      <c r="C583" s="60"/>
    </row>
    <row r="584" spans="1:3" ht="13.2">
      <c r="A584" s="59"/>
      <c r="B584" s="60"/>
      <c r="C584" s="60"/>
    </row>
    <row r="585" spans="1:3" ht="13.2">
      <c r="A585" s="59"/>
      <c r="B585" s="60"/>
      <c r="C585" s="60"/>
    </row>
    <row r="586" spans="1:3" ht="13.2">
      <c r="A586" s="59"/>
      <c r="B586" s="60"/>
      <c r="C586" s="60"/>
    </row>
    <row r="587" spans="1:3" ht="13.2">
      <c r="A587" s="59"/>
      <c r="B587" s="60"/>
      <c r="C587" s="60"/>
    </row>
    <row r="588" spans="1:3" ht="13.2">
      <c r="A588" s="59"/>
      <c r="B588" s="60"/>
      <c r="C588" s="60"/>
    </row>
    <row r="589" spans="1:3" ht="13.2">
      <c r="A589" s="59"/>
      <c r="B589" s="60"/>
      <c r="C589" s="60"/>
    </row>
    <row r="590" spans="1:3" ht="13.2">
      <c r="A590" s="59"/>
      <c r="B590" s="60"/>
      <c r="C590" s="60"/>
    </row>
    <row r="591" spans="1:3" ht="13.2">
      <c r="A591" s="59"/>
      <c r="B591" s="60"/>
      <c r="C591" s="60"/>
    </row>
    <row r="592" spans="1:3" ht="13.2">
      <c r="A592" s="59"/>
      <c r="B592" s="60"/>
      <c r="C592" s="60"/>
    </row>
    <row r="593" spans="1:3" ht="13.2">
      <c r="A593" s="59"/>
      <c r="B593" s="60"/>
      <c r="C593" s="60"/>
    </row>
    <row r="594" spans="1:3" ht="13.2">
      <c r="A594" s="59"/>
      <c r="B594" s="60"/>
      <c r="C594" s="60"/>
    </row>
    <row r="595" spans="1:3" ht="13.2">
      <c r="A595" s="59"/>
      <c r="B595" s="60"/>
      <c r="C595" s="60"/>
    </row>
    <row r="596" spans="1:3" ht="13.2">
      <c r="A596" s="59"/>
      <c r="B596" s="60"/>
      <c r="C596" s="60"/>
    </row>
    <row r="597" spans="1:3" ht="13.2">
      <c r="A597" s="59"/>
      <c r="B597" s="60"/>
      <c r="C597" s="60"/>
    </row>
    <row r="598" spans="1:3" ht="13.2">
      <c r="A598" s="59"/>
      <c r="B598" s="60"/>
      <c r="C598" s="60"/>
    </row>
    <row r="599" spans="1:3" ht="13.2">
      <c r="A599" s="59"/>
      <c r="B599" s="60"/>
      <c r="C599" s="60"/>
    </row>
    <row r="600" spans="1:3" ht="13.2">
      <c r="A600" s="59"/>
      <c r="B600" s="60"/>
      <c r="C600" s="60"/>
    </row>
    <row r="601" spans="1:3" ht="13.2">
      <c r="A601" s="59"/>
      <c r="B601" s="60"/>
      <c r="C601" s="60"/>
    </row>
    <row r="602" spans="1:3" ht="13.2">
      <c r="A602" s="59"/>
      <c r="B602" s="60"/>
      <c r="C602" s="60"/>
    </row>
    <row r="603" spans="1:3" ht="13.2">
      <c r="A603" s="59"/>
      <c r="B603" s="60"/>
      <c r="C603" s="60"/>
    </row>
    <row r="604" spans="1:3" ht="13.2">
      <c r="A604" s="59"/>
      <c r="B604" s="60"/>
      <c r="C604" s="60"/>
    </row>
    <row r="605" spans="1:3" ht="13.2">
      <c r="A605" s="59"/>
      <c r="B605" s="60"/>
      <c r="C605" s="60"/>
    </row>
    <row r="606" spans="1:3" ht="13.2">
      <c r="A606" s="59"/>
      <c r="B606" s="60"/>
      <c r="C606" s="60"/>
    </row>
    <row r="607" spans="1:3" ht="13.2">
      <c r="A607" s="59"/>
      <c r="B607" s="60"/>
      <c r="C607" s="60"/>
    </row>
    <row r="608" spans="1:3" ht="13.2">
      <c r="A608" s="59"/>
      <c r="B608" s="60"/>
      <c r="C608" s="60"/>
    </row>
    <row r="609" spans="1:3" ht="13.2">
      <c r="A609" s="59"/>
      <c r="B609" s="60"/>
      <c r="C609" s="60"/>
    </row>
    <row r="610" spans="1:3" ht="13.2">
      <c r="A610" s="59"/>
      <c r="B610" s="60"/>
      <c r="C610" s="60"/>
    </row>
    <row r="611" spans="1:3" ht="13.2">
      <c r="A611" s="59"/>
      <c r="B611" s="60"/>
      <c r="C611" s="60"/>
    </row>
    <row r="612" spans="1:3" ht="13.2">
      <c r="A612" s="59"/>
      <c r="B612" s="60"/>
      <c r="C612" s="60"/>
    </row>
    <row r="613" spans="1:3" ht="13.2">
      <c r="A613" s="59"/>
      <c r="B613" s="60"/>
      <c r="C613" s="60"/>
    </row>
    <row r="614" spans="1:3" ht="13.2">
      <c r="A614" s="59"/>
      <c r="B614" s="60"/>
      <c r="C614" s="60"/>
    </row>
    <row r="615" spans="1:3" ht="13.2">
      <c r="A615" s="59"/>
      <c r="B615" s="60"/>
      <c r="C615" s="60"/>
    </row>
    <row r="616" spans="1:3" ht="13.2">
      <c r="A616" s="59"/>
      <c r="B616" s="60"/>
      <c r="C616" s="60"/>
    </row>
    <row r="617" spans="1:3" ht="13.2">
      <c r="A617" s="59"/>
      <c r="B617" s="60"/>
      <c r="C617" s="60"/>
    </row>
    <row r="618" spans="1:3" ht="13.2">
      <c r="A618" s="59"/>
      <c r="B618" s="60"/>
      <c r="C618" s="60"/>
    </row>
    <row r="619" spans="1:3" ht="13.2">
      <c r="A619" s="59"/>
      <c r="B619" s="60"/>
      <c r="C619" s="60"/>
    </row>
    <row r="620" spans="1:3" ht="13.2">
      <c r="A620" s="59"/>
      <c r="B620" s="60"/>
      <c r="C620" s="60"/>
    </row>
    <row r="621" spans="1:3" ht="13.2">
      <c r="A621" s="59"/>
      <c r="B621" s="60"/>
      <c r="C621" s="60"/>
    </row>
    <row r="622" spans="1:3" ht="13.2">
      <c r="A622" s="59"/>
      <c r="B622" s="60"/>
      <c r="C622" s="60"/>
    </row>
    <row r="623" spans="1:3" ht="13.2">
      <c r="A623" s="59"/>
      <c r="B623" s="60"/>
      <c r="C623" s="60"/>
    </row>
    <row r="624" spans="1:3" ht="13.2">
      <c r="A624" s="59"/>
      <c r="B624" s="60"/>
      <c r="C624" s="60"/>
    </row>
    <row r="625" spans="1:3" ht="13.2">
      <c r="A625" s="59"/>
      <c r="B625" s="60"/>
      <c r="C625" s="60"/>
    </row>
    <row r="626" spans="1:3" ht="13.2">
      <c r="A626" s="59"/>
      <c r="B626" s="60"/>
      <c r="C626" s="60"/>
    </row>
    <row r="627" spans="1:3" ht="13.2">
      <c r="A627" s="59"/>
      <c r="B627" s="60"/>
      <c r="C627" s="60"/>
    </row>
    <row r="628" spans="1:3" ht="13.2">
      <c r="A628" s="59"/>
      <c r="B628" s="60"/>
      <c r="C628" s="60"/>
    </row>
    <row r="629" spans="1:3" ht="13.2">
      <c r="A629" s="59"/>
      <c r="B629" s="60"/>
      <c r="C629" s="60"/>
    </row>
    <row r="630" spans="1:3" ht="13.2">
      <c r="A630" s="59"/>
      <c r="B630" s="60"/>
      <c r="C630" s="60"/>
    </row>
    <row r="631" spans="1:3" ht="13.2">
      <c r="A631" s="59"/>
      <c r="B631" s="60"/>
      <c r="C631" s="60"/>
    </row>
    <row r="632" spans="1:3" ht="13.2">
      <c r="A632" s="59"/>
      <c r="B632" s="60"/>
      <c r="C632" s="60"/>
    </row>
    <row r="633" spans="1:3" ht="13.2">
      <c r="A633" s="59"/>
      <c r="B633" s="60"/>
      <c r="C633" s="60"/>
    </row>
    <row r="634" spans="1:3" ht="13.2">
      <c r="A634" s="59"/>
      <c r="B634" s="60"/>
      <c r="C634" s="60"/>
    </row>
    <row r="635" spans="1:3" ht="13.2">
      <c r="A635" s="59"/>
      <c r="B635" s="60"/>
      <c r="C635" s="60"/>
    </row>
    <row r="636" spans="1:3" ht="13.2">
      <c r="A636" s="59"/>
      <c r="B636" s="60"/>
      <c r="C636" s="60"/>
    </row>
    <row r="637" spans="1:3" ht="13.2">
      <c r="A637" s="59"/>
      <c r="B637" s="60"/>
      <c r="C637" s="60"/>
    </row>
    <row r="638" spans="1:3" ht="13.2">
      <c r="A638" s="59"/>
      <c r="B638" s="60"/>
      <c r="C638" s="60"/>
    </row>
    <row r="639" spans="1:3" ht="13.2">
      <c r="A639" s="59"/>
      <c r="B639" s="60"/>
      <c r="C639" s="60"/>
    </row>
    <row r="640" spans="1:3" ht="13.2">
      <c r="A640" s="59"/>
      <c r="B640" s="60"/>
      <c r="C640" s="60"/>
    </row>
    <row r="641" spans="1:3" ht="13.2">
      <c r="A641" s="59"/>
      <c r="B641" s="60"/>
      <c r="C641" s="60"/>
    </row>
    <row r="642" spans="1:3" ht="13.2">
      <c r="A642" s="59"/>
      <c r="B642" s="60"/>
      <c r="C642" s="60"/>
    </row>
    <row r="643" spans="1:3" ht="13.2">
      <c r="A643" s="59"/>
      <c r="B643" s="60"/>
      <c r="C643" s="60"/>
    </row>
    <row r="644" spans="1:3" ht="13.2">
      <c r="A644" s="59"/>
      <c r="B644" s="60"/>
      <c r="C644" s="60"/>
    </row>
    <row r="645" spans="1:3" ht="13.2">
      <c r="A645" s="59"/>
      <c r="B645" s="60"/>
      <c r="C645" s="60"/>
    </row>
    <row r="646" spans="1:3" ht="13.2">
      <c r="A646" s="59"/>
      <c r="B646" s="60"/>
      <c r="C646" s="60"/>
    </row>
    <row r="647" spans="1:3" ht="13.2">
      <c r="A647" s="59"/>
      <c r="B647" s="60"/>
      <c r="C647" s="60"/>
    </row>
    <row r="648" spans="1:3" ht="13.2">
      <c r="A648" s="59"/>
      <c r="B648" s="60"/>
      <c r="C648" s="60"/>
    </row>
    <row r="649" spans="1:3" ht="13.2">
      <c r="A649" s="59"/>
      <c r="B649" s="60"/>
      <c r="C649" s="60"/>
    </row>
    <row r="650" spans="1:3" ht="13.2">
      <c r="A650" s="59"/>
      <c r="B650" s="60"/>
      <c r="C650" s="60"/>
    </row>
    <row r="651" spans="1:3" ht="13.2">
      <c r="A651" s="59"/>
      <c r="B651" s="60"/>
      <c r="C651" s="60"/>
    </row>
    <row r="652" spans="1:3" ht="13.2">
      <c r="A652" s="59"/>
      <c r="B652" s="60"/>
      <c r="C652" s="60"/>
    </row>
    <row r="653" spans="1:3" ht="13.2">
      <c r="A653" s="59"/>
      <c r="B653" s="60"/>
      <c r="C653" s="60"/>
    </row>
    <row r="654" spans="1:3" ht="13.2">
      <c r="A654" s="59"/>
      <c r="B654" s="60"/>
      <c r="C654" s="60"/>
    </row>
    <row r="655" spans="1:3" ht="13.2">
      <c r="A655" s="59"/>
      <c r="B655" s="60"/>
      <c r="C655" s="60"/>
    </row>
    <row r="656" spans="1:3" ht="13.2">
      <c r="A656" s="59"/>
      <c r="B656" s="60"/>
      <c r="C656" s="60"/>
    </row>
    <row r="657" spans="1:3" ht="13.2">
      <c r="A657" s="59"/>
      <c r="B657" s="60"/>
      <c r="C657" s="60"/>
    </row>
    <row r="658" spans="1:3" ht="13.2">
      <c r="A658" s="59"/>
      <c r="B658" s="60"/>
      <c r="C658" s="60"/>
    </row>
    <row r="659" spans="1:3" ht="13.2">
      <c r="A659" s="59"/>
      <c r="B659" s="60"/>
      <c r="C659" s="60"/>
    </row>
    <row r="660" spans="1:3" ht="13.2">
      <c r="A660" s="59"/>
      <c r="B660" s="60"/>
      <c r="C660" s="60"/>
    </row>
    <row r="661" spans="1:3" ht="13.2">
      <c r="A661" s="59"/>
      <c r="B661" s="60"/>
      <c r="C661" s="60"/>
    </row>
    <row r="662" spans="1:3" ht="13.2">
      <c r="A662" s="59"/>
      <c r="B662" s="60"/>
      <c r="C662" s="60"/>
    </row>
    <row r="663" spans="1:3" ht="13.2">
      <c r="A663" s="59"/>
      <c r="B663" s="60"/>
      <c r="C663" s="60"/>
    </row>
    <row r="664" spans="1:3" ht="13.2">
      <c r="A664" s="59"/>
      <c r="B664" s="60"/>
      <c r="C664" s="60"/>
    </row>
    <row r="665" spans="1:3" ht="13.2">
      <c r="A665" s="59"/>
      <c r="B665" s="60"/>
      <c r="C665" s="60"/>
    </row>
    <row r="666" spans="1:3" ht="13.2">
      <c r="A666" s="59"/>
      <c r="B666" s="60"/>
      <c r="C666" s="60"/>
    </row>
    <row r="667" spans="1:3" ht="13.2">
      <c r="A667" s="59"/>
      <c r="B667" s="60"/>
      <c r="C667" s="60"/>
    </row>
    <row r="668" spans="1:3" ht="13.2">
      <c r="A668" s="59"/>
      <c r="B668" s="60"/>
      <c r="C668" s="60"/>
    </row>
    <row r="669" spans="1:3" ht="13.2">
      <c r="A669" s="59"/>
      <c r="B669" s="60"/>
      <c r="C669" s="60"/>
    </row>
    <row r="670" spans="1:3" ht="13.2">
      <c r="A670" s="59"/>
      <c r="B670" s="60"/>
      <c r="C670" s="60"/>
    </row>
    <row r="671" spans="1:3" ht="13.2">
      <c r="A671" s="59"/>
      <c r="B671" s="60"/>
      <c r="C671" s="60"/>
    </row>
    <row r="672" spans="1:3" ht="13.2">
      <c r="A672" s="59"/>
      <c r="B672" s="60"/>
      <c r="C672" s="60"/>
    </row>
    <row r="673" spans="1:3" ht="13.2">
      <c r="A673" s="59"/>
      <c r="B673" s="60"/>
      <c r="C673" s="60"/>
    </row>
    <row r="674" spans="1:3" ht="13.2">
      <c r="A674" s="59"/>
      <c r="B674" s="60"/>
      <c r="C674" s="60"/>
    </row>
    <row r="675" spans="1:3" ht="13.2">
      <c r="A675" s="59"/>
      <c r="B675" s="60"/>
      <c r="C675" s="60"/>
    </row>
    <row r="676" spans="1:3" ht="13.2">
      <c r="A676" s="59"/>
      <c r="B676" s="60"/>
      <c r="C676" s="60"/>
    </row>
    <row r="677" spans="1:3" ht="13.2">
      <c r="A677" s="59"/>
      <c r="B677" s="60"/>
      <c r="C677" s="60"/>
    </row>
    <row r="678" spans="1:3" ht="13.2">
      <c r="A678" s="59"/>
      <c r="B678" s="60"/>
      <c r="C678" s="60"/>
    </row>
    <row r="679" spans="1:3" ht="13.2">
      <c r="A679" s="59"/>
      <c r="B679" s="60"/>
      <c r="C679" s="60"/>
    </row>
    <row r="680" spans="1:3" ht="13.2">
      <c r="A680" s="59"/>
      <c r="B680" s="60"/>
      <c r="C680" s="60"/>
    </row>
    <row r="681" spans="1:3" ht="13.2">
      <c r="A681" s="59"/>
      <c r="B681" s="60"/>
      <c r="C681" s="60"/>
    </row>
    <row r="682" spans="1:3" ht="13.2">
      <c r="A682" s="59"/>
      <c r="B682" s="60"/>
      <c r="C682" s="60"/>
    </row>
    <row r="683" spans="1:3" ht="13.2">
      <c r="A683" s="59"/>
      <c r="B683" s="60"/>
      <c r="C683" s="60"/>
    </row>
    <row r="684" spans="1:3" ht="13.2">
      <c r="A684" s="59"/>
      <c r="B684" s="60"/>
      <c r="C684" s="60"/>
    </row>
    <row r="685" spans="1:3" ht="13.2">
      <c r="A685" s="59"/>
      <c r="B685" s="60"/>
      <c r="C685" s="60"/>
    </row>
    <row r="686" spans="1:3" ht="13.2">
      <c r="A686" s="59"/>
      <c r="B686" s="60"/>
      <c r="C686" s="60"/>
    </row>
    <row r="687" spans="1:3" ht="13.2">
      <c r="A687" s="59"/>
      <c r="B687" s="60"/>
      <c r="C687" s="60"/>
    </row>
    <row r="688" spans="1:3" ht="13.2">
      <c r="A688" s="59"/>
      <c r="B688" s="60"/>
      <c r="C688" s="60"/>
    </row>
    <row r="689" spans="1:3" ht="13.2">
      <c r="A689" s="59"/>
      <c r="B689" s="60"/>
      <c r="C689" s="60"/>
    </row>
    <row r="690" spans="1:3" ht="13.2">
      <c r="A690" s="59"/>
      <c r="B690" s="60"/>
      <c r="C690" s="60"/>
    </row>
    <row r="691" spans="1:3" ht="13.2">
      <c r="A691" s="59"/>
      <c r="B691" s="60"/>
      <c r="C691" s="60"/>
    </row>
    <row r="692" spans="1:3" ht="13.2">
      <c r="A692" s="59"/>
      <c r="B692" s="60"/>
      <c r="C692" s="60"/>
    </row>
    <row r="693" spans="1:3" ht="13.2">
      <c r="A693" s="59"/>
      <c r="B693" s="60"/>
      <c r="C693" s="60"/>
    </row>
    <row r="694" spans="1:3" ht="13.2">
      <c r="A694" s="59"/>
      <c r="B694" s="60"/>
      <c r="C694" s="60"/>
    </row>
    <row r="695" spans="1:3" ht="13.2">
      <c r="A695" s="59"/>
      <c r="B695" s="60"/>
      <c r="C695" s="60"/>
    </row>
    <row r="696" spans="1:3" ht="13.2">
      <c r="A696" s="59"/>
      <c r="B696" s="60"/>
      <c r="C696" s="60"/>
    </row>
    <row r="697" spans="1:3" ht="13.2">
      <c r="A697" s="59"/>
      <c r="B697" s="60"/>
      <c r="C697" s="60"/>
    </row>
    <row r="698" spans="1:3" ht="13.2">
      <c r="A698" s="59"/>
      <c r="B698" s="60"/>
      <c r="C698" s="60"/>
    </row>
    <row r="699" spans="1:3" ht="13.2">
      <c r="A699" s="59"/>
      <c r="B699" s="60"/>
      <c r="C699" s="60"/>
    </row>
    <row r="700" spans="1:3" ht="13.2">
      <c r="A700" s="59"/>
      <c r="B700" s="60"/>
      <c r="C700" s="60"/>
    </row>
    <row r="701" spans="1:3" ht="13.2">
      <c r="A701" s="59"/>
      <c r="B701" s="60"/>
      <c r="C701" s="60"/>
    </row>
    <row r="702" spans="1:3" ht="13.2">
      <c r="A702" s="59"/>
      <c r="B702" s="60"/>
      <c r="C702" s="60"/>
    </row>
    <row r="703" spans="1:3" ht="13.2">
      <c r="A703" s="59"/>
      <c r="B703" s="60"/>
      <c r="C703" s="60"/>
    </row>
    <row r="704" spans="1:3" ht="13.2">
      <c r="A704" s="59"/>
      <c r="B704" s="60"/>
      <c r="C704" s="60"/>
    </row>
    <row r="705" spans="1:3" ht="13.2">
      <c r="A705" s="59"/>
      <c r="B705" s="60"/>
      <c r="C705" s="60"/>
    </row>
    <row r="706" spans="1:3" ht="13.2">
      <c r="A706" s="59"/>
      <c r="B706" s="60"/>
      <c r="C706" s="60"/>
    </row>
    <row r="707" spans="1:3" ht="13.2">
      <c r="A707" s="59"/>
      <c r="B707" s="60"/>
      <c r="C707" s="60"/>
    </row>
    <row r="708" spans="1:3" ht="13.2">
      <c r="A708" s="59"/>
      <c r="B708" s="60"/>
      <c r="C708" s="60"/>
    </row>
    <row r="709" spans="1:3" ht="13.2">
      <c r="A709" s="59"/>
      <c r="B709" s="60"/>
      <c r="C709" s="60"/>
    </row>
    <row r="710" spans="1:3" ht="13.2">
      <c r="A710" s="59"/>
      <c r="B710" s="60"/>
      <c r="C710" s="60"/>
    </row>
    <row r="711" spans="1:3" ht="13.2">
      <c r="A711" s="59"/>
      <c r="B711" s="60"/>
      <c r="C711" s="60"/>
    </row>
    <row r="712" spans="1:3" ht="13.2">
      <c r="A712" s="59"/>
      <c r="B712" s="60"/>
      <c r="C712" s="60"/>
    </row>
    <row r="713" spans="1:3" ht="13.2">
      <c r="A713" s="59"/>
      <c r="B713" s="60"/>
      <c r="C713" s="60"/>
    </row>
    <row r="714" spans="1:3" ht="13.2">
      <c r="A714" s="59"/>
      <c r="B714" s="60"/>
      <c r="C714" s="60"/>
    </row>
    <row r="715" spans="1:3" ht="13.2">
      <c r="A715" s="59"/>
      <c r="B715" s="60"/>
      <c r="C715" s="60"/>
    </row>
    <row r="716" spans="1:3" ht="13.2">
      <c r="A716" s="59"/>
      <c r="B716" s="60"/>
      <c r="C716" s="60"/>
    </row>
    <row r="717" spans="1:3" ht="13.2">
      <c r="A717" s="59"/>
      <c r="B717" s="60"/>
      <c r="C717" s="60"/>
    </row>
    <row r="718" spans="1:3" ht="13.2">
      <c r="A718" s="59"/>
      <c r="B718" s="60"/>
      <c r="C718" s="60"/>
    </row>
    <row r="719" spans="1:3" ht="13.2">
      <c r="A719" s="59"/>
      <c r="B719" s="60"/>
      <c r="C719" s="60"/>
    </row>
    <row r="720" spans="1:3" ht="13.2">
      <c r="A720" s="59"/>
      <c r="B720" s="60"/>
      <c r="C720" s="60"/>
    </row>
    <row r="721" spans="1:3" ht="13.2">
      <c r="A721" s="59"/>
      <c r="B721" s="60"/>
      <c r="C721" s="60"/>
    </row>
    <row r="722" spans="1:3" ht="13.2">
      <c r="A722" s="59"/>
      <c r="B722" s="60"/>
      <c r="C722" s="60"/>
    </row>
    <row r="723" spans="1:3" ht="13.2">
      <c r="A723" s="59"/>
      <c r="B723" s="60"/>
      <c r="C723" s="60"/>
    </row>
    <row r="724" spans="1:3" ht="13.2">
      <c r="A724" s="59"/>
      <c r="B724" s="60"/>
      <c r="C724" s="60"/>
    </row>
    <row r="725" spans="1:3" ht="13.2">
      <c r="A725" s="59"/>
      <c r="B725" s="60"/>
      <c r="C725" s="60"/>
    </row>
    <row r="726" spans="1:3" ht="13.2">
      <c r="A726" s="59"/>
      <c r="B726" s="60"/>
      <c r="C726" s="60"/>
    </row>
    <row r="727" spans="1:3" ht="13.2">
      <c r="A727" s="59"/>
      <c r="B727" s="60"/>
      <c r="C727" s="60"/>
    </row>
    <row r="728" spans="1:3" ht="13.2">
      <c r="A728" s="59"/>
      <c r="B728" s="60"/>
      <c r="C728" s="60"/>
    </row>
    <row r="729" spans="1:3" ht="13.2">
      <c r="A729" s="59"/>
      <c r="B729" s="60"/>
      <c r="C729" s="60"/>
    </row>
    <row r="730" spans="1:3" ht="13.2">
      <c r="A730" s="59"/>
      <c r="B730" s="60"/>
      <c r="C730" s="60"/>
    </row>
    <row r="731" spans="1:3" ht="13.2">
      <c r="A731" s="59"/>
      <c r="B731" s="60"/>
      <c r="C731" s="60"/>
    </row>
    <row r="732" spans="1:3" ht="13.2">
      <c r="A732" s="59"/>
      <c r="B732" s="60"/>
      <c r="C732" s="60"/>
    </row>
    <row r="733" spans="1:3" ht="13.2">
      <c r="A733" s="59"/>
      <c r="B733" s="60"/>
      <c r="C733" s="60"/>
    </row>
    <row r="734" spans="1:3" ht="13.2">
      <c r="A734" s="59"/>
      <c r="B734" s="60"/>
      <c r="C734" s="60"/>
    </row>
    <row r="735" spans="1:3" ht="13.2">
      <c r="A735" s="59"/>
      <c r="B735" s="60"/>
      <c r="C735" s="60"/>
    </row>
    <row r="736" spans="1:3" ht="13.2">
      <c r="A736" s="59"/>
      <c r="B736" s="60"/>
      <c r="C736" s="60"/>
    </row>
    <row r="737" spans="1:3" ht="13.2">
      <c r="A737" s="59"/>
      <c r="B737" s="60"/>
      <c r="C737" s="60"/>
    </row>
    <row r="738" spans="1:3" ht="13.2">
      <c r="A738" s="59"/>
      <c r="B738" s="60"/>
      <c r="C738" s="60"/>
    </row>
    <row r="739" spans="1:3" ht="13.2">
      <c r="A739" s="59"/>
      <c r="B739" s="60"/>
      <c r="C739" s="60"/>
    </row>
    <row r="740" spans="1:3" ht="13.2">
      <c r="A740" s="59"/>
      <c r="B740" s="60"/>
      <c r="C740" s="60"/>
    </row>
    <row r="741" spans="1:3" ht="13.2">
      <c r="A741" s="59"/>
      <c r="B741" s="60"/>
      <c r="C741" s="60"/>
    </row>
    <row r="742" spans="1:3" ht="13.2">
      <c r="A742" s="59"/>
      <c r="B742" s="60"/>
      <c r="C742" s="60"/>
    </row>
    <row r="743" spans="1:3" ht="13.2">
      <c r="A743" s="59"/>
      <c r="B743" s="60"/>
      <c r="C743" s="60"/>
    </row>
    <row r="744" spans="1:3" ht="13.2">
      <c r="A744" s="59"/>
      <c r="B744" s="60"/>
      <c r="C744" s="60"/>
    </row>
    <row r="745" spans="1:3" ht="13.2">
      <c r="A745" s="59"/>
      <c r="B745" s="60"/>
      <c r="C745" s="60"/>
    </row>
    <row r="746" spans="1:3" ht="13.2">
      <c r="A746" s="59"/>
      <c r="B746" s="60"/>
      <c r="C746" s="60"/>
    </row>
    <row r="747" spans="1:3" ht="13.2">
      <c r="A747" s="59"/>
      <c r="B747" s="60"/>
      <c r="C747" s="60"/>
    </row>
    <row r="748" spans="1:3" ht="13.2">
      <c r="A748" s="59"/>
      <c r="B748" s="60"/>
      <c r="C748" s="60"/>
    </row>
    <row r="749" spans="1:3" ht="13.2">
      <c r="A749" s="59"/>
      <c r="B749" s="60"/>
      <c r="C749" s="60"/>
    </row>
    <row r="750" spans="1:3" ht="13.2">
      <c r="A750" s="59"/>
      <c r="B750" s="60"/>
      <c r="C750" s="60"/>
    </row>
    <row r="751" spans="1:3" ht="13.2">
      <c r="A751" s="59"/>
      <c r="B751" s="60"/>
      <c r="C751" s="60"/>
    </row>
    <row r="752" spans="1:3" ht="13.2">
      <c r="A752" s="59"/>
      <c r="B752" s="60"/>
      <c r="C752" s="60"/>
    </row>
    <row r="753" spans="1:3" ht="13.2">
      <c r="A753" s="59"/>
      <c r="B753" s="60"/>
      <c r="C753" s="60"/>
    </row>
    <row r="754" spans="1:3" ht="13.2">
      <c r="A754" s="59"/>
      <c r="B754" s="60"/>
      <c r="C754" s="60"/>
    </row>
    <row r="755" spans="1:3" ht="13.2">
      <c r="A755" s="59"/>
      <c r="B755" s="60"/>
      <c r="C755" s="60"/>
    </row>
    <row r="756" spans="1:3" ht="13.2">
      <c r="A756" s="59"/>
      <c r="B756" s="60"/>
      <c r="C756" s="60"/>
    </row>
    <row r="757" spans="1:3" ht="13.2">
      <c r="A757" s="59"/>
      <c r="B757" s="60"/>
      <c r="C757" s="60"/>
    </row>
    <row r="758" spans="1:3" ht="13.2">
      <c r="A758" s="59"/>
      <c r="B758" s="60"/>
      <c r="C758" s="60"/>
    </row>
    <row r="759" spans="1:3" ht="13.2">
      <c r="A759" s="59"/>
      <c r="B759" s="60"/>
      <c r="C759" s="60"/>
    </row>
    <row r="760" spans="1:3" ht="13.2">
      <c r="A760" s="59"/>
      <c r="B760" s="60"/>
      <c r="C760" s="60"/>
    </row>
    <row r="761" spans="1:3" ht="13.2">
      <c r="A761" s="59"/>
      <c r="B761" s="60"/>
      <c r="C761" s="60"/>
    </row>
    <row r="762" spans="1:3" ht="13.2">
      <c r="A762" s="59"/>
      <c r="B762" s="60"/>
      <c r="C762" s="60"/>
    </row>
    <row r="763" spans="1:3" ht="13.2">
      <c r="A763" s="59"/>
      <c r="B763" s="60"/>
      <c r="C763" s="60"/>
    </row>
    <row r="764" spans="1:3" ht="13.2">
      <c r="A764" s="59"/>
      <c r="B764" s="60"/>
      <c r="C764" s="60"/>
    </row>
    <row r="765" spans="1:3" ht="13.2">
      <c r="A765" s="59"/>
      <c r="B765" s="60"/>
      <c r="C765" s="60"/>
    </row>
    <row r="766" spans="1:3" ht="13.2">
      <c r="A766" s="59"/>
      <c r="B766" s="60"/>
      <c r="C766" s="60"/>
    </row>
    <row r="767" spans="1:3" ht="13.2">
      <c r="A767" s="59"/>
      <c r="B767" s="60"/>
      <c r="C767" s="60"/>
    </row>
    <row r="768" spans="1:3" ht="13.2">
      <c r="A768" s="59"/>
      <c r="B768" s="60"/>
      <c r="C768" s="60"/>
    </row>
    <row r="769" spans="1:3" ht="13.2">
      <c r="A769" s="59"/>
      <c r="B769" s="60"/>
      <c r="C769" s="60"/>
    </row>
    <row r="770" spans="1:3" ht="13.2">
      <c r="A770" s="59"/>
      <c r="B770" s="60"/>
      <c r="C770" s="60"/>
    </row>
    <row r="771" spans="1:3" ht="13.2">
      <c r="A771" s="59"/>
      <c r="B771" s="60"/>
      <c r="C771" s="60"/>
    </row>
    <row r="772" spans="1:3" ht="13.2">
      <c r="A772" s="59"/>
      <c r="B772" s="60"/>
      <c r="C772" s="60"/>
    </row>
    <row r="773" spans="1:3" ht="13.2">
      <c r="A773" s="59"/>
      <c r="B773" s="60"/>
      <c r="C773" s="60"/>
    </row>
    <row r="774" spans="1:3" ht="13.2">
      <c r="A774" s="59"/>
      <c r="B774" s="60"/>
      <c r="C774" s="60"/>
    </row>
    <row r="775" spans="1:3" ht="13.2">
      <c r="A775" s="59"/>
      <c r="B775" s="60"/>
      <c r="C775" s="60"/>
    </row>
    <row r="776" spans="1:3" ht="13.2">
      <c r="A776" s="59"/>
      <c r="B776" s="60"/>
      <c r="C776" s="60"/>
    </row>
    <row r="777" spans="1:3" ht="13.2">
      <c r="A777" s="59"/>
      <c r="B777" s="60"/>
      <c r="C777" s="60"/>
    </row>
    <row r="778" spans="1:3" ht="13.2">
      <c r="A778" s="59"/>
      <c r="B778" s="60"/>
      <c r="C778" s="60"/>
    </row>
    <row r="779" spans="1:3" ht="13.2">
      <c r="A779" s="59"/>
      <c r="B779" s="60"/>
      <c r="C779" s="60"/>
    </row>
    <row r="780" spans="1:3" ht="13.2">
      <c r="A780" s="59"/>
      <c r="B780" s="60"/>
      <c r="C780" s="60"/>
    </row>
    <row r="781" spans="1:3" ht="13.2">
      <c r="A781" s="59"/>
      <c r="B781" s="60"/>
      <c r="C781" s="60"/>
    </row>
    <row r="782" spans="1:3" ht="13.2">
      <c r="A782" s="59"/>
      <c r="B782" s="60"/>
      <c r="C782" s="60"/>
    </row>
    <row r="783" spans="1:3" ht="13.2">
      <c r="A783" s="59"/>
      <c r="B783" s="60"/>
      <c r="C783" s="60"/>
    </row>
    <row r="784" spans="1:3" ht="13.2">
      <c r="A784" s="59"/>
      <c r="B784" s="60"/>
      <c r="C784" s="60"/>
    </row>
    <row r="785" spans="1:3" ht="13.2">
      <c r="A785" s="59"/>
      <c r="B785" s="60"/>
      <c r="C785" s="60"/>
    </row>
    <row r="786" spans="1:3" ht="13.2">
      <c r="A786" s="59"/>
      <c r="B786" s="60"/>
      <c r="C786" s="60"/>
    </row>
    <row r="787" spans="1:3" ht="13.2">
      <c r="A787" s="59"/>
      <c r="B787" s="60"/>
      <c r="C787" s="60"/>
    </row>
    <row r="788" spans="1:3" ht="13.2">
      <c r="A788" s="59"/>
      <c r="B788" s="60"/>
      <c r="C788" s="60"/>
    </row>
    <row r="789" spans="1:3" ht="13.2">
      <c r="A789" s="59"/>
      <c r="B789" s="60"/>
      <c r="C789" s="60"/>
    </row>
    <row r="790" spans="1:3" ht="13.2">
      <c r="A790" s="59"/>
      <c r="B790" s="60"/>
      <c r="C790" s="60"/>
    </row>
    <row r="791" spans="1:3" ht="13.2">
      <c r="A791" s="59"/>
      <c r="B791" s="60"/>
      <c r="C791" s="60"/>
    </row>
    <row r="792" spans="1:3" ht="13.2">
      <c r="A792" s="59"/>
      <c r="B792" s="60"/>
      <c r="C792" s="60"/>
    </row>
    <row r="793" spans="1:3" ht="13.2">
      <c r="A793" s="59"/>
      <c r="B793" s="60"/>
      <c r="C793" s="60"/>
    </row>
    <row r="794" spans="1:3" ht="13.2">
      <c r="A794" s="59"/>
      <c r="B794" s="60"/>
      <c r="C794" s="60"/>
    </row>
    <row r="795" spans="1:3" ht="13.2">
      <c r="A795" s="59"/>
      <c r="B795" s="60"/>
      <c r="C795" s="60"/>
    </row>
    <row r="796" spans="1:3" ht="13.2">
      <c r="A796" s="59"/>
      <c r="B796" s="60"/>
      <c r="C796" s="60"/>
    </row>
    <row r="797" spans="1:3" ht="13.2">
      <c r="A797" s="59"/>
      <c r="B797" s="60"/>
      <c r="C797" s="60"/>
    </row>
    <row r="798" spans="1:3" ht="13.2">
      <c r="A798" s="59"/>
      <c r="B798" s="60"/>
      <c r="C798" s="60"/>
    </row>
    <row r="799" spans="1:3" ht="13.2">
      <c r="A799" s="59"/>
      <c r="B799" s="60"/>
      <c r="C799" s="60"/>
    </row>
    <row r="800" spans="1:3" ht="13.2">
      <c r="A800" s="59"/>
      <c r="B800" s="60"/>
      <c r="C800" s="60"/>
    </row>
    <row r="801" spans="1:3" ht="13.2">
      <c r="A801" s="59"/>
      <c r="B801" s="60"/>
      <c r="C801" s="60"/>
    </row>
    <row r="802" spans="1:3" ht="13.2">
      <c r="A802" s="59"/>
      <c r="B802" s="60"/>
      <c r="C802" s="60"/>
    </row>
    <row r="803" spans="1:3" ht="13.2">
      <c r="A803" s="59"/>
      <c r="B803" s="60"/>
      <c r="C803" s="60"/>
    </row>
    <row r="804" spans="1:3" ht="13.2">
      <c r="A804" s="59"/>
      <c r="B804" s="60"/>
      <c r="C804" s="60"/>
    </row>
    <row r="805" spans="1:3" ht="13.2">
      <c r="A805" s="59"/>
      <c r="B805" s="60"/>
      <c r="C805" s="60"/>
    </row>
    <row r="806" spans="1:3" ht="13.2">
      <c r="A806" s="59"/>
      <c r="B806" s="60"/>
      <c r="C806" s="60"/>
    </row>
    <row r="807" spans="1:3" ht="13.2">
      <c r="A807" s="59"/>
      <c r="B807" s="60"/>
      <c r="C807" s="60"/>
    </row>
    <row r="808" spans="1:3" ht="13.2">
      <c r="A808" s="59"/>
      <c r="B808" s="60"/>
      <c r="C808" s="60"/>
    </row>
    <row r="809" spans="1:3" ht="13.2">
      <c r="A809" s="59"/>
      <c r="B809" s="60"/>
      <c r="C809" s="60"/>
    </row>
    <row r="810" spans="1:3" ht="13.2">
      <c r="A810" s="59"/>
      <c r="B810" s="60"/>
      <c r="C810" s="60"/>
    </row>
    <row r="811" spans="1:3" ht="13.2">
      <c r="A811" s="59"/>
      <c r="B811" s="60"/>
      <c r="C811" s="60"/>
    </row>
    <row r="812" spans="1:3" ht="13.2">
      <c r="A812" s="59"/>
      <c r="B812" s="60"/>
      <c r="C812" s="60"/>
    </row>
    <row r="813" spans="1:3" ht="13.2">
      <c r="A813" s="59"/>
      <c r="B813" s="60"/>
      <c r="C813" s="60"/>
    </row>
    <row r="814" spans="1:3" ht="13.2">
      <c r="A814" s="59"/>
      <c r="B814" s="60"/>
      <c r="C814" s="60"/>
    </row>
    <row r="815" spans="1:3" ht="13.2">
      <c r="A815" s="59"/>
      <c r="B815" s="60"/>
      <c r="C815" s="60"/>
    </row>
    <row r="816" spans="1:3" ht="13.2">
      <c r="A816" s="59"/>
      <c r="B816" s="60"/>
      <c r="C816" s="60"/>
    </row>
    <row r="817" spans="1:3" ht="13.2">
      <c r="A817" s="59"/>
      <c r="B817" s="60"/>
      <c r="C817" s="60"/>
    </row>
    <row r="818" spans="1:3" ht="13.2">
      <c r="A818" s="59"/>
      <c r="B818" s="60"/>
      <c r="C818" s="60"/>
    </row>
    <row r="819" spans="1:3" ht="13.2">
      <c r="A819" s="59"/>
      <c r="B819" s="60"/>
      <c r="C819" s="60"/>
    </row>
    <row r="820" spans="1:3" ht="13.2">
      <c r="A820" s="59"/>
      <c r="B820" s="60"/>
      <c r="C820" s="60"/>
    </row>
    <row r="821" spans="1:3" ht="13.2">
      <c r="A821" s="59"/>
      <c r="B821" s="60"/>
      <c r="C821" s="60"/>
    </row>
    <row r="822" spans="1:3" ht="13.2">
      <c r="A822" s="59"/>
      <c r="B822" s="60"/>
      <c r="C822" s="60"/>
    </row>
    <row r="823" spans="1:3" ht="13.2">
      <c r="A823" s="59"/>
      <c r="B823" s="60"/>
      <c r="C823" s="60"/>
    </row>
    <row r="824" spans="1:3" ht="13.2">
      <c r="A824" s="59"/>
      <c r="B824" s="60"/>
      <c r="C824" s="60"/>
    </row>
    <row r="825" spans="1:3" ht="13.2">
      <c r="A825" s="59"/>
      <c r="B825" s="60"/>
      <c r="C825" s="60"/>
    </row>
    <row r="826" spans="1:3" ht="13.2">
      <c r="A826" s="59"/>
      <c r="B826" s="60"/>
      <c r="C826" s="60"/>
    </row>
    <row r="827" spans="1:3" ht="13.2">
      <c r="A827" s="59"/>
      <c r="B827" s="60"/>
      <c r="C827" s="60"/>
    </row>
    <row r="828" spans="1:3" ht="13.2">
      <c r="A828" s="59"/>
      <c r="B828" s="60"/>
      <c r="C828" s="60"/>
    </row>
    <row r="829" spans="1:3" ht="13.2">
      <c r="A829" s="59"/>
      <c r="B829" s="60"/>
      <c r="C829" s="60"/>
    </row>
    <row r="830" spans="1:3" ht="13.2">
      <c r="A830" s="59"/>
      <c r="B830" s="60"/>
      <c r="C830" s="60"/>
    </row>
    <row r="831" spans="1:3" ht="13.2">
      <c r="A831" s="59"/>
      <c r="B831" s="60"/>
      <c r="C831" s="60"/>
    </row>
    <row r="832" spans="1:3" ht="13.2">
      <c r="A832" s="59"/>
      <c r="B832" s="60"/>
      <c r="C832" s="60"/>
    </row>
    <row r="833" spans="1:3" ht="13.2">
      <c r="A833" s="59"/>
      <c r="B833" s="60"/>
      <c r="C833" s="60"/>
    </row>
    <row r="834" spans="1:3" ht="13.2">
      <c r="A834" s="59"/>
      <c r="B834" s="60"/>
      <c r="C834" s="60"/>
    </row>
    <row r="835" spans="1:3" ht="13.2">
      <c r="A835" s="59"/>
      <c r="B835" s="60"/>
      <c r="C835" s="60"/>
    </row>
    <row r="836" spans="1:3" ht="13.2">
      <c r="A836" s="59"/>
      <c r="B836" s="60"/>
      <c r="C836" s="60"/>
    </row>
    <row r="837" spans="1:3" ht="13.2">
      <c r="A837" s="59"/>
      <c r="B837" s="60"/>
      <c r="C837" s="60"/>
    </row>
    <row r="838" spans="1:3" ht="13.2">
      <c r="A838" s="59"/>
      <c r="B838" s="60"/>
      <c r="C838" s="60"/>
    </row>
    <row r="839" spans="1:3" ht="13.2">
      <c r="A839" s="59"/>
      <c r="B839" s="60"/>
      <c r="C839" s="60"/>
    </row>
    <row r="840" spans="1:3" ht="13.2">
      <c r="A840" s="59"/>
      <c r="B840" s="60"/>
      <c r="C840" s="60"/>
    </row>
    <row r="841" spans="1:3" ht="13.2">
      <c r="A841" s="59"/>
      <c r="B841" s="60"/>
      <c r="C841" s="60"/>
    </row>
    <row r="842" spans="1:3" ht="13.2">
      <c r="A842" s="59"/>
      <c r="B842" s="60"/>
      <c r="C842" s="60"/>
    </row>
    <row r="843" spans="1:3" ht="13.2">
      <c r="A843" s="59"/>
      <c r="B843" s="60"/>
      <c r="C843" s="60"/>
    </row>
    <row r="844" spans="1:3" ht="13.2">
      <c r="A844" s="59"/>
      <c r="B844" s="60"/>
      <c r="C844" s="60"/>
    </row>
    <row r="845" spans="1:3" ht="13.2">
      <c r="A845" s="59"/>
      <c r="B845" s="60"/>
      <c r="C845" s="60"/>
    </row>
    <row r="846" spans="1:3" ht="13.2">
      <c r="A846" s="59"/>
      <c r="B846" s="60"/>
      <c r="C846" s="60"/>
    </row>
    <row r="847" spans="1:3" ht="13.2">
      <c r="A847" s="59"/>
      <c r="B847" s="60"/>
      <c r="C847" s="60"/>
    </row>
    <row r="848" spans="1:3" ht="13.2">
      <c r="A848" s="59"/>
      <c r="B848" s="60"/>
      <c r="C848" s="60"/>
    </row>
    <row r="849" spans="1:3" ht="13.2">
      <c r="A849" s="59"/>
      <c r="B849" s="60"/>
      <c r="C849" s="60"/>
    </row>
    <row r="850" spans="1:3" ht="13.2">
      <c r="A850" s="59"/>
      <c r="B850" s="60"/>
      <c r="C850" s="60"/>
    </row>
    <row r="851" spans="1:3" ht="13.2">
      <c r="A851" s="59"/>
      <c r="B851" s="60"/>
      <c r="C851" s="60"/>
    </row>
    <row r="852" spans="1:3" ht="13.2">
      <c r="A852" s="59"/>
      <c r="B852" s="60"/>
      <c r="C852" s="60"/>
    </row>
    <row r="853" spans="1:3" ht="13.2">
      <c r="A853" s="59"/>
      <c r="B853" s="60"/>
      <c r="C853" s="60"/>
    </row>
    <row r="854" spans="1:3" ht="13.2">
      <c r="A854" s="59"/>
      <c r="B854" s="60"/>
      <c r="C854" s="60"/>
    </row>
    <row r="855" spans="1:3" ht="13.2">
      <c r="A855" s="59"/>
      <c r="B855" s="60"/>
      <c r="C855" s="60"/>
    </row>
    <row r="856" spans="1:3" ht="13.2">
      <c r="A856" s="59"/>
      <c r="B856" s="60"/>
      <c r="C856" s="60"/>
    </row>
    <row r="857" spans="1:3" ht="13.2">
      <c r="A857" s="59"/>
      <c r="B857" s="60"/>
      <c r="C857" s="60"/>
    </row>
    <row r="858" spans="1:3" ht="13.2">
      <c r="A858" s="59"/>
      <c r="B858" s="60"/>
      <c r="C858" s="60"/>
    </row>
    <row r="859" spans="1:3" ht="13.2">
      <c r="A859" s="59"/>
      <c r="B859" s="60"/>
      <c r="C859" s="60"/>
    </row>
    <row r="860" spans="1:3" ht="13.2">
      <c r="A860" s="59"/>
      <c r="B860" s="60"/>
      <c r="C860" s="60"/>
    </row>
    <row r="861" spans="1:3" ht="13.2">
      <c r="A861" s="59"/>
      <c r="B861" s="60"/>
      <c r="C861" s="60"/>
    </row>
    <row r="862" spans="1:3" ht="13.2">
      <c r="A862" s="59"/>
      <c r="B862" s="60"/>
      <c r="C862" s="60"/>
    </row>
    <row r="863" spans="1:3" ht="13.2">
      <c r="A863" s="59"/>
      <c r="B863" s="60"/>
      <c r="C863" s="60"/>
    </row>
    <row r="864" spans="1:3" ht="13.2">
      <c r="A864" s="59"/>
      <c r="B864" s="60"/>
      <c r="C864" s="60"/>
    </row>
    <row r="865" spans="1:3" ht="13.2">
      <c r="A865" s="59"/>
      <c r="B865" s="60"/>
      <c r="C865" s="60"/>
    </row>
    <row r="866" spans="1:3" ht="13.2">
      <c r="A866" s="59"/>
      <c r="B866" s="60"/>
      <c r="C866" s="60"/>
    </row>
    <row r="867" spans="1:3" ht="13.2">
      <c r="A867" s="59"/>
      <c r="B867" s="60"/>
      <c r="C867" s="60"/>
    </row>
    <row r="868" spans="1:3" ht="13.2">
      <c r="A868" s="59"/>
      <c r="B868" s="60"/>
      <c r="C868" s="60"/>
    </row>
    <row r="869" spans="1:3" ht="13.2">
      <c r="A869" s="59"/>
      <c r="B869" s="60"/>
      <c r="C869" s="60"/>
    </row>
    <row r="870" spans="1:3" ht="13.2">
      <c r="A870" s="59"/>
      <c r="B870" s="60"/>
      <c r="C870" s="60"/>
    </row>
    <row r="871" spans="1:3" ht="13.2">
      <c r="A871" s="59"/>
      <c r="B871" s="60"/>
      <c r="C871" s="60"/>
    </row>
    <row r="872" spans="1:3" ht="13.2">
      <c r="A872" s="59"/>
      <c r="B872" s="60"/>
      <c r="C872" s="60"/>
    </row>
    <row r="873" spans="1:3" ht="13.2">
      <c r="A873" s="59"/>
      <c r="B873" s="60"/>
      <c r="C873" s="60"/>
    </row>
    <row r="874" spans="1:3" ht="13.2">
      <c r="A874" s="59"/>
      <c r="B874" s="60"/>
      <c r="C874" s="60"/>
    </row>
    <row r="875" spans="1:3" ht="13.2">
      <c r="A875" s="59"/>
      <c r="B875" s="60"/>
      <c r="C875" s="60"/>
    </row>
    <row r="876" spans="1:3" ht="13.2">
      <c r="A876" s="59"/>
      <c r="B876" s="60"/>
      <c r="C876" s="60"/>
    </row>
    <row r="877" spans="1:3" ht="13.2">
      <c r="A877" s="59"/>
      <c r="B877" s="60"/>
      <c r="C877" s="60"/>
    </row>
    <row r="878" spans="1:3" ht="13.2">
      <c r="A878" s="59"/>
      <c r="B878" s="60"/>
      <c r="C878" s="60"/>
    </row>
    <row r="879" spans="1:3" ht="13.2">
      <c r="A879" s="59"/>
      <c r="B879" s="60"/>
      <c r="C879" s="60"/>
    </row>
    <row r="880" spans="1:3" ht="13.2">
      <c r="A880" s="59"/>
      <c r="B880" s="60"/>
      <c r="C880" s="60"/>
    </row>
    <row r="881" spans="1:3" ht="13.2">
      <c r="A881" s="59"/>
      <c r="B881" s="60"/>
      <c r="C881" s="60"/>
    </row>
    <row r="882" spans="1:3" ht="13.2">
      <c r="A882" s="59"/>
      <c r="B882" s="60"/>
      <c r="C882" s="60"/>
    </row>
    <row r="883" spans="1:3" ht="13.2">
      <c r="A883" s="59"/>
      <c r="B883" s="60"/>
      <c r="C883" s="60"/>
    </row>
    <row r="884" spans="1:3" ht="13.2">
      <c r="A884" s="59"/>
      <c r="B884" s="60"/>
      <c r="C884" s="60"/>
    </row>
    <row r="885" spans="1:3" ht="13.2">
      <c r="A885" s="59"/>
      <c r="B885" s="60"/>
      <c r="C885" s="60"/>
    </row>
    <row r="886" spans="1:3" ht="13.2">
      <c r="A886" s="59"/>
      <c r="B886" s="60"/>
      <c r="C886" s="60"/>
    </row>
    <row r="887" spans="1:3" ht="13.2">
      <c r="A887" s="59"/>
      <c r="B887" s="60"/>
      <c r="C887" s="60"/>
    </row>
    <row r="888" spans="1:3" ht="13.2">
      <c r="A888" s="59"/>
      <c r="B888" s="60"/>
      <c r="C888" s="60"/>
    </row>
    <row r="889" spans="1:3" ht="13.2">
      <c r="A889" s="59"/>
      <c r="B889" s="60"/>
      <c r="C889" s="60"/>
    </row>
    <row r="890" spans="1:3" ht="13.2">
      <c r="A890" s="59"/>
      <c r="B890" s="60"/>
      <c r="C890" s="60"/>
    </row>
    <row r="891" spans="1:3" ht="13.2">
      <c r="A891" s="59"/>
      <c r="B891" s="60"/>
      <c r="C891" s="60"/>
    </row>
    <row r="892" spans="1:3" ht="13.2">
      <c r="A892" s="59"/>
      <c r="B892" s="60"/>
      <c r="C892" s="60"/>
    </row>
    <row r="893" spans="1:3" ht="13.2">
      <c r="A893" s="59"/>
      <c r="B893" s="60"/>
      <c r="C893" s="60"/>
    </row>
    <row r="894" spans="1:3" ht="13.2">
      <c r="A894" s="59"/>
      <c r="B894" s="60"/>
      <c r="C894" s="60"/>
    </row>
    <row r="895" spans="1:3" ht="13.2">
      <c r="A895" s="59"/>
      <c r="B895" s="60"/>
      <c r="C895" s="60"/>
    </row>
    <row r="896" spans="1:3" ht="13.2">
      <c r="A896" s="59"/>
      <c r="B896" s="60"/>
      <c r="C896" s="60"/>
    </row>
    <row r="897" spans="1:3" ht="13.2">
      <c r="A897" s="59"/>
      <c r="B897" s="60"/>
      <c r="C897" s="60"/>
    </row>
    <row r="898" spans="1:3" ht="13.2">
      <c r="A898" s="59"/>
      <c r="B898" s="60"/>
      <c r="C898" s="60"/>
    </row>
    <row r="899" spans="1:3" ht="13.2">
      <c r="A899" s="59"/>
      <c r="B899" s="60"/>
      <c r="C899" s="60"/>
    </row>
    <row r="900" spans="1:3" ht="13.2">
      <c r="A900" s="59"/>
      <c r="B900" s="60"/>
      <c r="C900" s="60"/>
    </row>
    <row r="901" spans="1:3" ht="13.2">
      <c r="A901" s="59"/>
      <c r="B901" s="60"/>
      <c r="C901" s="60"/>
    </row>
    <row r="902" spans="1:3" ht="13.2">
      <c r="A902" s="59"/>
      <c r="B902" s="60"/>
      <c r="C902" s="60"/>
    </row>
    <row r="903" spans="1:3" ht="13.2">
      <c r="A903" s="59"/>
      <c r="B903" s="60"/>
      <c r="C903" s="60"/>
    </row>
    <row r="904" spans="1:3" ht="13.2">
      <c r="A904" s="59"/>
      <c r="B904" s="60"/>
      <c r="C904" s="60"/>
    </row>
    <row r="905" spans="1:3" ht="13.2">
      <c r="A905" s="59"/>
      <c r="B905" s="60"/>
      <c r="C905" s="60"/>
    </row>
    <row r="906" spans="1:3" ht="13.2">
      <c r="A906" s="59"/>
      <c r="B906" s="60"/>
      <c r="C906" s="60"/>
    </row>
    <row r="907" spans="1:3" ht="13.2">
      <c r="A907" s="59"/>
      <c r="B907" s="60"/>
      <c r="C907" s="60"/>
    </row>
    <row r="908" spans="1:3" ht="13.2">
      <c r="A908" s="59"/>
      <c r="B908" s="60"/>
      <c r="C908" s="60"/>
    </row>
    <row r="909" spans="1:3" ht="13.2">
      <c r="A909" s="59"/>
      <c r="B909" s="60"/>
      <c r="C909" s="60"/>
    </row>
    <row r="910" spans="1:3" ht="13.2">
      <c r="A910" s="59"/>
      <c r="B910" s="60"/>
      <c r="C910" s="60"/>
    </row>
    <row r="911" spans="1:3" ht="13.2">
      <c r="A911" s="59"/>
      <c r="B911" s="60"/>
      <c r="C911" s="60"/>
    </row>
    <row r="912" spans="1:3" ht="13.2">
      <c r="A912" s="59"/>
      <c r="B912" s="60"/>
      <c r="C912" s="60"/>
    </row>
    <row r="913" spans="1:3" ht="13.2">
      <c r="A913" s="59"/>
      <c r="B913" s="60"/>
      <c r="C913" s="60"/>
    </row>
    <row r="914" spans="1:3" ht="13.2">
      <c r="A914" s="59"/>
      <c r="B914" s="60"/>
      <c r="C914" s="60"/>
    </row>
    <row r="915" spans="1:3" ht="13.2">
      <c r="A915" s="59"/>
      <c r="B915" s="60"/>
      <c r="C915" s="60"/>
    </row>
    <row r="916" spans="1:3" ht="13.2">
      <c r="A916" s="59"/>
      <c r="B916" s="60"/>
      <c r="C916" s="60"/>
    </row>
    <row r="917" spans="1:3" ht="13.2">
      <c r="A917" s="59"/>
      <c r="B917" s="60"/>
      <c r="C917" s="60"/>
    </row>
    <row r="918" spans="1:3" ht="13.2">
      <c r="A918" s="59"/>
      <c r="B918" s="60"/>
      <c r="C918" s="60"/>
    </row>
    <row r="919" spans="1:3" ht="13.2">
      <c r="A919" s="59"/>
      <c r="B919" s="60"/>
      <c r="C919" s="60"/>
    </row>
    <row r="920" spans="1:3" ht="13.2">
      <c r="A920" s="59"/>
      <c r="B920" s="60"/>
      <c r="C920" s="60"/>
    </row>
    <row r="921" spans="1:3" ht="13.2">
      <c r="A921" s="59"/>
      <c r="B921" s="60"/>
      <c r="C921" s="60"/>
    </row>
    <row r="922" spans="1:3" ht="13.2">
      <c r="A922" s="59"/>
      <c r="B922" s="60"/>
      <c r="C922" s="60"/>
    </row>
    <row r="923" spans="1:3" ht="13.2">
      <c r="A923" s="59"/>
      <c r="B923" s="60"/>
      <c r="C923" s="60"/>
    </row>
    <row r="924" spans="1:3" ht="13.2">
      <c r="A924" s="59"/>
      <c r="B924" s="60"/>
      <c r="C924" s="60"/>
    </row>
    <row r="925" spans="1:3" ht="13.2">
      <c r="A925" s="59"/>
      <c r="B925" s="60"/>
      <c r="C925" s="60"/>
    </row>
    <row r="926" spans="1:3" ht="13.2">
      <c r="A926" s="59"/>
      <c r="B926" s="60"/>
      <c r="C926" s="60"/>
    </row>
    <row r="927" spans="1:3" ht="13.2">
      <c r="A927" s="59"/>
      <c r="B927" s="60"/>
      <c r="C927" s="60"/>
    </row>
    <row r="928" spans="1:3" ht="13.2">
      <c r="A928" s="59"/>
      <c r="B928" s="60"/>
      <c r="C928" s="60"/>
    </row>
    <row r="929" spans="1:3" ht="13.2">
      <c r="A929" s="59"/>
      <c r="B929" s="60"/>
      <c r="C929" s="60"/>
    </row>
    <row r="930" spans="1:3" ht="13.2">
      <c r="A930" s="59"/>
      <c r="B930" s="60"/>
      <c r="C930" s="60"/>
    </row>
    <row r="931" spans="1:3" ht="13.2">
      <c r="A931" s="59"/>
      <c r="B931" s="60"/>
      <c r="C931" s="60"/>
    </row>
    <row r="932" spans="1:3" ht="13.2">
      <c r="A932" s="59"/>
      <c r="B932" s="60"/>
      <c r="C932" s="60"/>
    </row>
    <row r="933" spans="1:3" ht="13.2">
      <c r="A933" s="59"/>
      <c r="B933" s="60"/>
      <c r="C933" s="60"/>
    </row>
    <row r="934" spans="1:3" ht="13.2">
      <c r="A934" s="59"/>
      <c r="B934" s="60"/>
      <c r="C934" s="60"/>
    </row>
    <row r="935" spans="1:3" ht="13.2">
      <c r="A935" s="59"/>
      <c r="B935" s="60"/>
      <c r="C935" s="60"/>
    </row>
    <row r="936" spans="1:3" ht="13.2">
      <c r="A936" s="59"/>
      <c r="B936" s="60"/>
      <c r="C936" s="60"/>
    </row>
    <row r="937" spans="1:3" ht="13.2">
      <c r="A937" s="59"/>
      <c r="B937" s="60"/>
      <c r="C937" s="60"/>
    </row>
    <row r="938" spans="1:3" ht="13.2">
      <c r="A938" s="59"/>
      <c r="B938" s="60"/>
      <c r="C938" s="60"/>
    </row>
    <row r="939" spans="1:3" ht="13.2">
      <c r="A939" s="59"/>
      <c r="B939" s="60"/>
      <c r="C939" s="60"/>
    </row>
    <row r="940" spans="1:3" ht="13.2">
      <c r="A940" s="59"/>
      <c r="B940" s="60"/>
      <c r="C940" s="60"/>
    </row>
    <row r="941" spans="1:3" ht="13.2">
      <c r="A941" s="59"/>
      <c r="B941" s="60"/>
      <c r="C941" s="60"/>
    </row>
    <row r="942" spans="1:3" ht="13.2">
      <c r="A942" s="59"/>
      <c r="B942" s="60"/>
      <c r="C942" s="60"/>
    </row>
    <row r="943" spans="1:3" ht="13.2">
      <c r="A943" s="59"/>
      <c r="B943" s="60"/>
      <c r="C943" s="60"/>
    </row>
    <row r="944" spans="1:3" ht="13.2">
      <c r="A944" s="59"/>
      <c r="B944" s="60"/>
      <c r="C944" s="60"/>
    </row>
    <row r="945" spans="1:3" ht="13.2">
      <c r="A945" s="59"/>
      <c r="B945" s="60"/>
      <c r="C945" s="60"/>
    </row>
    <row r="946" spans="1:3" ht="13.2">
      <c r="A946" s="59"/>
      <c r="B946" s="60"/>
      <c r="C946" s="60"/>
    </row>
    <row r="947" spans="1:3" ht="13.2">
      <c r="A947" s="59"/>
      <c r="B947" s="60"/>
      <c r="C947" s="60"/>
    </row>
    <row r="948" spans="1:3" ht="13.2">
      <c r="A948" s="59"/>
      <c r="B948" s="60"/>
      <c r="C948" s="60"/>
    </row>
    <row r="949" spans="1:3" ht="13.2">
      <c r="A949" s="59"/>
      <c r="B949" s="60"/>
      <c r="C949" s="60"/>
    </row>
    <row r="950" spans="1:3" ht="13.2">
      <c r="A950" s="59"/>
      <c r="B950" s="60"/>
      <c r="C950" s="60"/>
    </row>
    <row r="951" spans="1:3" ht="13.2">
      <c r="A951" s="59"/>
      <c r="B951" s="60"/>
      <c r="C951" s="60"/>
    </row>
    <row r="952" spans="1:3" ht="13.2">
      <c r="A952" s="59"/>
      <c r="B952" s="60"/>
      <c r="C952" s="60"/>
    </row>
    <row r="953" spans="1:3" ht="13.2">
      <c r="A953" s="59"/>
      <c r="B953" s="60"/>
      <c r="C953" s="60"/>
    </row>
    <row r="954" spans="1:3" ht="13.2">
      <c r="A954" s="59"/>
      <c r="B954" s="60"/>
      <c r="C954" s="60"/>
    </row>
    <row r="955" spans="1:3" ht="13.2">
      <c r="A955" s="59"/>
      <c r="B955" s="60"/>
      <c r="C955" s="60"/>
    </row>
    <row r="956" spans="1:3" ht="13.2">
      <c r="A956" s="59"/>
      <c r="B956" s="60"/>
      <c r="C956" s="60"/>
    </row>
    <row r="957" spans="1:3" ht="13.2">
      <c r="A957" s="59"/>
      <c r="B957" s="60"/>
      <c r="C957" s="60"/>
    </row>
    <row r="958" spans="1:3" ht="13.2">
      <c r="A958" s="59"/>
      <c r="B958" s="60"/>
      <c r="C958" s="60"/>
    </row>
    <row r="959" spans="1:3" ht="13.2">
      <c r="A959" s="59"/>
      <c r="B959" s="60"/>
      <c r="C959" s="60"/>
    </row>
    <row r="960" spans="1:3" ht="13.2">
      <c r="A960" s="59"/>
      <c r="B960" s="60"/>
      <c r="C960" s="60"/>
    </row>
    <row r="961" spans="1:3" ht="13.2">
      <c r="A961" s="59"/>
      <c r="B961" s="60"/>
      <c r="C961" s="60"/>
    </row>
    <row r="962" spans="1:3" ht="13.2">
      <c r="A962" s="59"/>
      <c r="B962" s="60"/>
      <c r="C962" s="60"/>
    </row>
    <row r="963" spans="1:3" ht="13.2">
      <c r="A963" s="59"/>
      <c r="B963" s="60"/>
      <c r="C963" s="60"/>
    </row>
    <row r="964" spans="1:3" ht="13.2">
      <c r="A964" s="59"/>
      <c r="B964" s="60"/>
      <c r="C964" s="60"/>
    </row>
    <row r="965" spans="1:3" ht="13.2">
      <c r="A965" s="59"/>
      <c r="B965" s="60"/>
      <c r="C965" s="60"/>
    </row>
    <row r="966" spans="1:3" ht="13.2">
      <c r="A966" s="59"/>
      <c r="B966" s="60"/>
      <c r="C966" s="60"/>
    </row>
    <row r="967" spans="1:3" ht="13.2">
      <c r="A967" s="59"/>
      <c r="B967" s="60"/>
      <c r="C967" s="60"/>
    </row>
    <row r="968" spans="1:3" ht="13.2">
      <c r="A968" s="59"/>
      <c r="B968" s="60"/>
      <c r="C968" s="60"/>
    </row>
    <row r="969" spans="1:3" ht="13.2">
      <c r="A969" s="59"/>
      <c r="B969" s="60"/>
      <c r="C969" s="60"/>
    </row>
    <row r="970" spans="1:3" ht="13.2">
      <c r="A970" s="59"/>
      <c r="B970" s="60"/>
      <c r="C970" s="60"/>
    </row>
    <row r="971" spans="1:3" ht="13.2">
      <c r="A971" s="59"/>
      <c r="B971" s="60"/>
      <c r="C971" s="60"/>
    </row>
    <row r="972" spans="1:3" ht="13.2">
      <c r="A972" s="59"/>
      <c r="B972" s="60"/>
      <c r="C972" s="60"/>
    </row>
    <row r="973" spans="1:3" ht="13.2">
      <c r="A973" s="59"/>
      <c r="B973" s="60"/>
      <c r="C973" s="60"/>
    </row>
    <row r="974" spans="1:3" ht="13.2">
      <c r="A974" s="59"/>
      <c r="B974" s="60"/>
      <c r="C974" s="60"/>
    </row>
    <row r="975" spans="1:3" ht="13.2">
      <c r="A975" s="59"/>
      <c r="B975" s="60"/>
      <c r="C975" s="60"/>
    </row>
    <row r="976" spans="1:3" ht="13.2">
      <c r="A976" s="59"/>
      <c r="B976" s="60"/>
      <c r="C976" s="60"/>
    </row>
    <row r="977" spans="1:3" ht="13.2">
      <c r="A977" s="59"/>
      <c r="B977" s="60"/>
      <c r="C977" s="60"/>
    </row>
    <row r="978" spans="1:3" ht="13.2">
      <c r="A978" s="59"/>
      <c r="B978" s="60"/>
      <c r="C978" s="60"/>
    </row>
    <row r="979" spans="1:3" ht="13.2">
      <c r="A979" s="59"/>
      <c r="B979" s="60"/>
      <c r="C979" s="60"/>
    </row>
    <row r="980" spans="1:3" ht="13.2">
      <c r="A980" s="59"/>
      <c r="B980" s="60"/>
      <c r="C980" s="60"/>
    </row>
    <row r="981" spans="1:3" ht="13.2">
      <c r="A981" s="59"/>
      <c r="B981" s="60"/>
      <c r="C981" s="60"/>
    </row>
    <row r="982" spans="1:3" ht="13.2">
      <c r="A982" s="59"/>
      <c r="B982" s="60"/>
      <c r="C982" s="60"/>
    </row>
    <row r="983" spans="1:3" ht="13.2">
      <c r="A983" s="59"/>
      <c r="B983" s="60"/>
      <c r="C983" s="60"/>
    </row>
    <row r="984" spans="1:3" ht="13.2">
      <c r="A984" s="59"/>
      <c r="B984" s="60"/>
      <c r="C984" s="60"/>
    </row>
    <row r="985" spans="1:3" ht="13.2">
      <c r="A985" s="59"/>
      <c r="B985" s="60"/>
      <c r="C985" s="60"/>
    </row>
    <row r="986" spans="1:3" ht="13.2">
      <c r="A986" s="59"/>
      <c r="B986" s="60"/>
      <c r="C986" s="60"/>
    </row>
    <row r="987" spans="1:3" ht="13.2">
      <c r="A987" s="59"/>
      <c r="B987" s="60"/>
      <c r="C987" s="60"/>
    </row>
    <row r="988" spans="1:3" ht="13.2">
      <c r="A988" s="59"/>
      <c r="B988" s="60"/>
      <c r="C988" s="60"/>
    </row>
    <row r="989" spans="1:3" ht="13.2">
      <c r="A989" s="59"/>
      <c r="B989" s="60"/>
      <c r="C989" s="60"/>
    </row>
    <row r="990" spans="1:3" ht="13.2">
      <c r="A990" s="59"/>
      <c r="B990" s="60"/>
      <c r="C990" s="60"/>
    </row>
    <row r="991" spans="1:3" ht="13.2">
      <c r="A991" s="59"/>
      <c r="B991" s="60"/>
      <c r="C991" s="60"/>
    </row>
    <row r="992" spans="1:3" ht="13.2">
      <c r="A992" s="59"/>
      <c r="B992" s="60"/>
      <c r="C992" s="60"/>
    </row>
    <row r="993" spans="1:3" ht="13.2">
      <c r="A993" s="59"/>
      <c r="B993" s="60"/>
      <c r="C993" s="60"/>
    </row>
    <row r="994" spans="1:3" ht="13.2">
      <c r="A994" s="59"/>
      <c r="B994" s="60"/>
      <c r="C994" s="60"/>
    </row>
    <row r="995" spans="1:3" ht="13.2">
      <c r="A995" s="59"/>
      <c r="B995" s="60"/>
      <c r="C995" s="60"/>
    </row>
    <row r="996" spans="1:3" ht="13.2">
      <c r="A996" s="59"/>
      <c r="B996" s="60"/>
      <c r="C996" s="60"/>
    </row>
    <row r="997" spans="1:3" ht="13.2">
      <c r="A997" s="59"/>
      <c r="B997" s="60"/>
      <c r="C997" s="60"/>
    </row>
    <row r="998" spans="1:3" ht="13.2">
      <c r="A998" s="59"/>
      <c r="B998" s="60"/>
      <c r="C998" s="60"/>
    </row>
    <row r="999" spans="1:3" ht="13.2">
      <c r="A999" s="59"/>
      <c r="B999" s="60"/>
      <c r="C999" s="60"/>
    </row>
    <row r="1000" spans="1:3" ht="13.2">
      <c r="A1000" s="59"/>
      <c r="B1000" s="60"/>
      <c r="C1000" s="60"/>
    </row>
    <row r="1001" spans="1:3" ht="13.2">
      <c r="A1001" s="59"/>
      <c r="B1001" s="60"/>
      <c r="C1001" s="60"/>
    </row>
    <row r="1002" spans="1:3" ht="13.2">
      <c r="A1002" s="59"/>
      <c r="B1002" s="60"/>
      <c r="C1002" s="60"/>
    </row>
    <row r="1003" spans="1:3" ht="13.2">
      <c r="A1003" s="59"/>
      <c r="B1003" s="60"/>
      <c r="C1003" s="6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989"/>
  <sheetViews>
    <sheetView workbookViewId="0"/>
  </sheetViews>
  <sheetFormatPr defaultColWidth="12.6640625" defaultRowHeight="15.75" customHeight="1"/>
  <cols>
    <col min="1" max="1" width="17.44140625" customWidth="1"/>
    <col min="2" max="2" width="21.77734375" customWidth="1"/>
    <col min="3" max="3" width="25.88671875" customWidth="1"/>
    <col min="4" max="4" width="2.33203125" customWidth="1"/>
    <col min="6" max="6" width="28.77734375" customWidth="1"/>
    <col min="7" max="7" width="24" customWidth="1"/>
  </cols>
  <sheetData>
    <row r="1" spans="1:26" ht="13.2">
      <c r="A1" s="89" t="s">
        <v>74</v>
      </c>
      <c r="B1" s="90" t="s">
        <v>1190</v>
      </c>
      <c r="C1" s="91" t="s">
        <v>75</v>
      </c>
      <c r="D1" s="91"/>
      <c r="E1" s="90" t="s">
        <v>1198</v>
      </c>
      <c r="F1" s="92" t="s">
        <v>86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3.2">
      <c r="A2" s="93" t="s">
        <v>1223</v>
      </c>
      <c r="B2" s="94" t="s">
        <v>1230</v>
      </c>
      <c r="C2" s="95" t="s">
        <v>1234</v>
      </c>
      <c r="D2" s="95"/>
      <c r="E2" s="94" t="s">
        <v>1239</v>
      </c>
      <c r="F2" s="96" t="s">
        <v>1241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6.4">
      <c r="A3" s="97"/>
      <c r="B3" s="94"/>
      <c r="C3" s="95" t="s">
        <v>1255</v>
      </c>
      <c r="D3" s="95"/>
      <c r="E3" s="94"/>
      <c r="F3" s="96" t="s">
        <v>1259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2">
      <c r="A4" s="98">
        <v>46315</v>
      </c>
      <c r="B4" s="94" t="s">
        <v>1272</v>
      </c>
      <c r="C4" s="99" t="s">
        <v>92</v>
      </c>
      <c r="D4" s="95"/>
      <c r="E4" s="94" t="s">
        <v>1275</v>
      </c>
      <c r="F4" s="96" t="s">
        <v>92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39.6">
      <c r="A5" s="97" t="s">
        <v>1282</v>
      </c>
      <c r="B5" s="100" t="s">
        <v>1285</v>
      </c>
      <c r="C5" s="101" t="s">
        <v>1289</v>
      </c>
      <c r="D5" s="101"/>
      <c r="E5" s="100" t="s">
        <v>1293</v>
      </c>
      <c r="F5" s="102" t="s">
        <v>1296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2">
      <c r="A6" s="45"/>
      <c r="B6" s="95"/>
      <c r="C6" s="95"/>
      <c r="D6" s="95"/>
      <c r="E6" s="95"/>
      <c r="F6" s="95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9.6">
      <c r="A7" s="89" t="s">
        <v>143</v>
      </c>
      <c r="B7" s="90" t="s">
        <v>1190</v>
      </c>
      <c r="C7" s="91" t="s">
        <v>144</v>
      </c>
      <c r="D7" s="91"/>
      <c r="E7" s="90" t="s">
        <v>1198</v>
      </c>
      <c r="F7" s="92" t="s">
        <v>153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2">
      <c r="A8" s="89" t="s">
        <v>1323</v>
      </c>
      <c r="B8" s="94" t="s">
        <v>1230</v>
      </c>
      <c r="C8" s="95" t="s">
        <v>1234</v>
      </c>
      <c r="D8" s="95"/>
      <c r="E8" s="94" t="s">
        <v>1239</v>
      </c>
      <c r="F8" s="96" t="s">
        <v>1241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6.4">
      <c r="A9" s="97"/>
      <c r="B9" s="94"/>
      <c r="C9" s="95" t="s">
        <v>1334</v>
      </c>
      <c r="D9" s="95"/>
      <c r="E9" s="94"/>
      <c r="F9" s="96" t="s">
        <v>1336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2">
      <c r="A10" s="98">
        <v>46320</v>
      </c>
      <c r="B10" s="94" t="s">
        <v>1272</v>
      </c>
      <c r="C10" s="99" t="s">
        <v>1343</v>
      </c>
      <c r="D10" s="95"/>
      <c r="E10" s="94" t="s">
        <v>1275</v>
      </c>
      <c r="F10" s="96" t="s">
        <v>157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39.6">
      <c r="A11" s="97" t="s">
        <v>1353</v>
      </c>
      <c r="B11" s="100" t="s">
        <v>1285</v>
      </c>
      <c r="C11" s="101" t="s">
        <v>1355</v>
      </c>
      <c r="D11" s="101"/>
      <c r="E11" s="100" t="s">
        <v>1293</v>
      </c>
      <c r="F11" s="102" t="s">
        <v>1358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2">
      <c r="A12" s="45"/>
      <c r="B12" s="95"/>
      <c r="C12" s="95"/>
      <c r="D12" s="95"/>
      <c r="E12" s="95"/>
      <c r="F12" s="9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2">
      <c r="A13" s="103"/>
      <c r="B13" s="104"/>
      <c r="C13" s="104"/>
      <c r="D13" s="104"/>
      <c r="E13" s="104"/>
      <c r="F13" s="104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ht="22.5" customHeight="1">
      <c r="A14" s="105" t="s">
        <v>1375</v>
      </c>
      <c r="B14" s="105" t="s">
        <v>1193</v>
      </c>
      <c r="C14" s="105" t="s">
        <v>1391</v>
      </c>
      <c r="D14" s="105"/>
      <c r="E14" s="105" t="s">
        <v>1397</v>
      </c>
      <c r="F14" s="105" t="s">
        <v>1193</v>
      </c>
      <c r="G14" s="105" t="s">
        <v>1403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>
      <c r="A15" s="106" t="s">
        <v>1413</v>
      </c>
      <c r="B15" s="106" t="s">
        <v>1418</v>
      </c>
      <c r="C15" s="106" t="s">
        <v>1421</v>
      </c>
      <c r="D15" s="95"/>
      <c r="E15" s="95" t="s">
        <v>1426</v>
      </c>
      <c r="F15" s="95" t="s">
        <v>1430</v>
      </c>
      <c r="G15" s="95" t="s">
        <v>1241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>
      <c r="A16" s="95" t="s">
        <v>1438</v>
      </c>
      <c r="B16" s="95" t="s">
        <v>1442</v>
      </c>
      <c r="C16" s="95" t="s">
        <v>1446</v>
      </c>
      <c r="D16" s="95"/>
      <c r="E16" s="95" t="s">
        <v>1450</v>
      </c>
      <c r="F16" s="95" t="s">
        <v>1454</v>
      </c>
      <c r="G16" s="95" t="s">
        <v>1455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>
      <c r="A17" s="95" t="s">
        <v>1465</v>
      </c>
      <c r="B17" s="95" t="s">
        <v>1468</v>
      </c>
      <c r="C17" s="95" t="s">
        <v>1470</v>
      </c>
      <c r="D17" s="95"/>
      <c r="E17" s="95" t="s">
        <v>1475</v>
      </c>
      <c r="F17" s="95" t="s">
        <v>1478</v>
      </c>
      <c r="G17" s="95" t="s">
        <v>1482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2.5" customHeight="1">
      <c r="A18" s="95" t="s">
        <v>1492</v>
      </c>
      <c r="B18" s="95" t="s">
        <v>1496</v>
      </c>
      <c r="C18" s="95" t="s">
        <v>1500</v>
      </c>
      <c r="D18" s="95"/>
      <c r="E18" s="95" t="s">
        <v>1503</v>
      </c>
      <c r="F18" s="95" t="s">
        <v>1506</v>
      </c>
      <c r="G18" s="95" t="s">
        <v>1507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2.5" customHeight="1">
      <c r="A19" s="95" t="s">
        <v>1517</v>
      </c>
      <c r="B19" s="95" t="s">
        <v>1521</v>
      </c>
      <c r="C19" s="95" t="s">
        <v>1525</v>
      </c>
      <c r="D19" s="95"/>
      <c r="E19" s="95" t="s">
        <v>1528</v>
      </c>
      <c r="F19" s="95" t="s">
        <v>1532</v>
      </c>
      <c r="G19" s="95" t="s">
        <v>1535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2.5" customHeight="1">
      <c r="A20" s="95" t="s">
        <v>1538</v>
      </c>
      <c r="B20" s="95" t="s">
        <v>1548</v>
      </c>
      <c r="C20" s="95" t="s">
        <v>1553</v>
      </c>
      <c r="D20" s="95"/>
      <c r="E20" s="95"/>
      <c r="F20" s="95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2.5" customHeight="1">
      <c r="A21" s="106" t="s">
        <v>1566</v>
      </c>
      <c r="B21" s="106" t="s">
        <v>1570</v>
      </c>
      <c r="C21" s="106" t="s">
        <v>1574</v>
      </c>
      <c r="D21" s="95"/>
      <c r="E21" s="95"/>
      <c r="F21" s="95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2.5" customHeight="1">
      <c r="A22" s="95" t="s">
        <v>1581</v>
      </c>
      <c r="B22" s="95" t="s">
        <v>1582</v>
      </c>
      <c r="C22" s="95" t="s">
        <v>1586</v>
      </c>
      <c r="D22" s="95"/>
      <c r="E22" s="95"/>
      <c r="F22" s="95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2.5" customHeight="1">
      <c r="A23" s="95" t="s">
        <v>1591</v>
      </c>
      <c r="B23" s="95" t="s">
        <v>1594</v>
      </c>
      <c r="C23" s="95" t="s">
        <v>1597</v>
      </c>
      <c r="D23" s="95"/>
      <c r="E23" s="95"/>
      <c r="F23" s="95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2.5" customHeight="1">
      <c r="A24" s="95" t="s">
        <v>1606</v>
      </c>
      <c r="B24" s="95" t="s">
        <v>1610</v>
      </c>
      <c r="C24" s="95" t="s">
        <v>1611</v>
      </c>
      <c r="D24" s="95"/>
      <c r="E24" s="95"/>
      <c r="F24" s="95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2.5" customHeight="1">
      <c r="A25" s="95" t="s">
        <v>1619</v>
      </c>
      <c r="B25" s="95" t="s">
        <v>1625</v>
      </c>
      <c r="C25" s="95" t="s">
        <v>1628</v>
      </c>
      <c r="D25" s="95"/>
      <c r="E25" s="95"/>
      <c r="F25" s="95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2.5" customHeight="1">
      <c r="A26" s="95" t="s">
        <v>1639</v>
      </c>
      <c r="B26" s="95" t="s">
        <v>1643</v>
      </c>
      <c r="C26" s="95" t="s">
        <v>1648</v>
      </c>
      <c r="D26" s="95"/>
      <c r="E26" s="95"/>
      <c r="F26" s="95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2.5" customHeight="1">
      <c r="A27" s="95" t="s">
        <v>1658</v>
      </c>
      <c r="B27" s="95" t="s">
        <v>1661</v>
      </c>
      <c r="C27" s="95" t="s">
        <v>1665</v>
      </c>
      <c r="D27" s="95"/>
      <c r="E27" s="95"/>
      <c r="F27" s="95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2.5" customHeight="1">
      <c r="A28" s="95" t="s">
        <v>1676</v>
      </c>
      <c r="B28" s="95" t="s">
        <v>1679</v>
      </c>
      <c r="C28" s="95" t="s">
        <v>1681</v>
      </c>
      <c r="D28" s="95"/>
      <c r="E28" s="95"/>
      <c r="F28" s="95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2.5" customHeight="1">
      <c r="A29" s="95" t="s">
        <v>1690</v>
      </c>
      <c r="B29" s="95" t="s">
        <v>1693</v>
      </c>
      <c r="C29" s="95" t="s">
        <v>1696</v>
      </c>
      <c r="D29" s="95"/>
      <c r="E29" s="95"/>
      <c r="F29" s="95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2.5" customHeight="1">
      <c r="A30" s="95" t="s">
        <v>1715</v>
      </c>
      <c r="B30" s="95" t="s">
        <v>1716</v>
      </c>
      <c r="C30" s="95" t="s">
        <v>1717</v>
      </c>
      <c r="D30" s="95"/>
      <c r="E30" s="95"/>
      <c r="F30" s="95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2">
      <c r="A31" s="18"/>
      <c r="B31" s="95"/>
      <c r="C31" s="95"/>
      <c r="D31" s="95"/>
      <c r="E31" s="95"/>
      <c r="F31" s="9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2">
      <c r="A32" s="18"/>
      <c r="B32" s="95"/>
      <c r="C32" s="95"/>
      <c r="D32" s="95"/>
      <c r="E32" s="95"/>
      <c r="F32" s="95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2">
      <c r="A33" s="18"/>
      <c r="B33" s="95"/>
      <c r="C33" s="95"/>
      <c r="D33" s="95"/>
      <c r="E33" s="95"/>
      <c r="F33" s="95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2">
      <c r="A34" s="18"/>
      <c r="B34" s="95"/>
      <c r="C34" s="95"/>
      <c r="D34" s="95"/>
      <c r="E34" s="95"/>
      <c r="F34" s="95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2">
      <c r="A35" s="18"/>
      <c r="B35" s="95"/>
      <c r="C35" s="95"/>
      <c r="D35" s="95"/>
      <c r="E35" s="95"/>
      <c r="F35" s="95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2">
      <c r="A36" s="18"/>
      <c r="B36" s="95"/>
      <c r="C36" s="95"/>
      <c r="D36" s="95"/>
      <c r="E36" s="95"/>
      <c r="F36" s="95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2">
      <c r="A37" s="18"/>
      <c r="B37" s="95"/>
      <c r="C37" s="95"/>
      <c r="D37" s="95"/>
      <c r="E37" s="95"/>
      <c r="F37" s="95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2">
      <c r="A38" s="18"/>
      <c r="B38" s="95"/>
      <c r="C38" s="95"/>
      <c r="D38" s="95"/>
      <c r="E38" s="95"/>
      <c r="F38" s="95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2">
      <c r="A39" s="18"/>
      <c r="B39" s="95"/>
      <c r="C39" s="95"/>
      <c r="D39" s="95"/>
      <c r="E39" s="95"/>
      <c r="F39" s="95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2">
      <c r="A40" s="18"/>
      <c r="B40" s="95"/>
      <c r="C40" s="95"/>
      <c r="D40" s="95"/>
      <c r="E40" s="95"/>
      <c r="F40" s="95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2">
      <c r="A41" s="18"/>
      <c r="B41" s="95"/>
      <c r="C41" s="95"/>
      <c r="D41" s="95"/>
      <c r="E41" s="95"/>
      <c r="F41" s="95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2">
      <c r="A42" s="18"/>
      <c r="B42" s="95"/>
      <c r="C42" s="95"/>
      <c r="D42" s="95"/>
      <c r="E42" s="95"/>
      <c r="F42" s="95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2">
      <c r="A43" s="18"/>
      <c r="B43" s="95"/>
      <c r="C43" s="95"/>
      <c r="D43" s="95"/>
      <c r="E43" s="95"/>
      <c r="F43" s="95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2">
      <c r="A44" s="18"/>
      <c r="B44" s="95"/>
      <c r="C44" s="95"/>
      <c r="D44" s="95"/>
      <c r="E44" s="95"/>
      <c r="F44" s="95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2">
      <c r="A45" s="18"/>
      <c r="B45" s="95"/>
      <c r="C45" s="95"/>
      <c r="D45" s="95"/>
      <c r="E45" s="95"/>
      <c r="F45" s="95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2">
      <c r="A46" s="18"/>
      <c r="B46" s="95"/>
      <c r="C46" s="95"/>
      <c r="D46" s="95"/>
      <c r="E46" s="95"/>
      <c r="F46" s="95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2">
      <c r="A47" s="18"/>
      <c r="B47" s="95"/>
      <c r="C47" s="95"/>
      <c r="D47" s="95"/>
      <c r="E47" s="95"/>
      <c r="F47" s="95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2">
      <c r="A48" s="18"/>
      <c r="B48" s="95"/>
      <c r="C48" s="95"/>
      <c r="D48" s="95"/>
      <c r="E48" s="95"/>
      <c r="F48" s="95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2">
      <c r="A49" s="18"/>
      <c r="B49" s="95"/>
      <c r="C49" s="95"/>
      <c r="D49" s="95"/>
      <c r="E49" s="95"/>
      <c r="F49" s="95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2">
      <c r="A50" s="18"/>
      <c r="B50" s="95"/>
      <c r="C50" s="95"/>
      <c r="D50" s="95"/>
      <c r="E50" s="95"/>
      <c r="F50" s="95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2">
      <c r="A51" s="18"/>
      <c r="B51" s="95"/>
      <c r="C51" s="95"/>
      <c r="D51" s="95"/>
      <c r="E51" s="95"/>
      <c r="F51" s="95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2">
      <c r="A52" s="18"/>
      <c r="B52" s="95"/>
      <c r="C52" s="95"/>
      <c r="D52" s="95"/>
      <c r="E52" s="95"/>
      <c r="F52" s="95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2">
      <c r="A53" s="18"/>
      <c r="B53" s="95"/>
      <c r="C53" s="95"/>
      <c r="D53" s="95"/>
      <c r="E53" s="95"/>
      <c r="F53" s="95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2">
      <c r="A54" s="18"/>
      <c r="B54" s="95"/>
      <c r="C54" s="95"/>
      <c r="D54" s="95"/>
      <c r="E54" s="95"/>
      <c r="F54" s="95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2">
      <c r="A55" s="18"/>
      <c r="B55" s="95"/>
      <c r="C55" s="95"/>
      <c r="D55" s="95"/>
      <c r="E55" s="95"/>
      <c r="F55" s="95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2">
      <c r="A56" s="18"/>
      <c r="B56" s="95"/>
      <c r="C56" s="95"/>
      <c r="D56" s="95"/>
      <c r="E56" s="95"/>
      <c r="F56" s="95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2">
      <c r="A57" s="18"/>
      <c r="B57" s="95"/>
      <c r="C57" s="95"/>
      <c r="D57" s="95"/>
      <c r="E57" s="95"/>
      <c r="F57" s="95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2">
      <c r="A58" s="18"/>
      <c r="B58" s="95"/>
      <c r="C58" s="95"/>
      <c r="D58" s="95"/>
      <c r="E58" s="95"/>
      <c r="F58" s="95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2">
      <c r="A59" s="18"/>
      <c r="B59" s="95"/>
      <c r="C59" s="95"/>
      <c r="D59" s="95"/>
      <c r="E59" s="95"/>
      <c r="F59" s="95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2">
      <c r="A60" s="18"/>
      <c r="B60" s="95"/>
      <c r="C60" s="95"/>
      <c r="D60" s="95"/>
      <c r="E60" s="95"/>
      <c r="F60" s="95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2">
      <c r="A61" s="18"/>
      <c r="B61" s="95"/>
      <c r="C61" s="95"/>
      <c r="D61" s="95"/>
      <c r="E61" s="95"/>
      <c r="F61" s="95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2">
      <c r="A62" s="18"/>
      <c r="B62" s="95"/>
      <c r="C62" s="95"/>
      <c r="D62" s="95"/>
      <c r="E62" s="95"/>
      <c r="F62" s="95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2">
      <c r="A63" s="18"/>
      <c r="B63" s="95"/>
      <c r="C63" s="95"/>
      <c r="D63" s="95"/>
      <c r="E63" s="95"/>
      <c r="F63" s="95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2">
      <c r="A64" s="18"/>
      <c r="B64" s="95"/>
      <c r="C64" s="95"/>
      <c r="D64" s="95"/>
      <c r="E64" s="95"/>
      <c r="F64" s="95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2">
      <c r="A65" s="18"/>
      <c r="B65" s="95"/>
      <c r="C65" s="95"/>
      <c r="D65" s="95"/>
      <c r="E65" s="95"/>
      <c r="F65" s="95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2">
      <c r="A66" s="18"/>
      <c r="B66" s="95"/>
      <c r="C66" s="95"/>
      <c r="D66" s="95"/>
      <c r="E66" s="95"/>
      <c r="F66" s="95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2">
      <c r="A67" s="18"/>
      <c r="B67" s="95"/>
      <c r="C67" s="95"/>
      <c r="D67" s="95"/>
      <c r="E67" s="95"/>
      <c r="F67" s="95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2">
      <c r="A68" s="18"/>
      <c r="B68" s="95"/>
      <c r="C68" s="95"/>
      <c r="D68" s="95"/>
      <c r="E68" s="95"/>
      <c r="F68" s="95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2">
      <c r="A69" s="18"/>
      <c r="B69" s="95"/>
      <c r="C69" s="95"/>
      <c r="D69" s="95"/>
      <c r="E69" s="95"/>
      <c r="F69" s="95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2">
      <c r="A70" s="18"/>
      <c r="B70" s="95"/>
      <c r="C70" s="95"/>
      <c r="D70" s="95"/>
      <c r="E70" s="95"/>
      <c r="F70" s="95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2">
      <c r="A71" s="18"/>
      <c r="B71" s="95"/>
      <c r="C71" s="95"/>
      <c r="D71" s="95"/>
      <c r="E71" s="95"/>
      <c r="F71" s="95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2">
      <c r="A72" s="18"/>
      <c r="B72" s="95"/>
      <c r="C72" s="95"/>
      <c r="D72" s="95"/>
      <c r="E72" s="95"/>
      <c r="F72" s="95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2">
      <c r="A73" s="18"/>
      <c r="B73" s="95"/>
      <c r="C73" s="95"/>
      <c r="D73" s="95"/>
      <c r="E73" s="95"/>
      <c r="F73" s="95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2">
      <c r="A74" s="18"/>
      <c r="B74" s="95"/>
      <c r="C74" s="95"/>
      <c r="D74" s="95"/>
      <c r="E74" s="95"/>
      <c r="F74" s="95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2">
      <c r="A75" s="18"/>
      <c r="B75" s="95"/>
      <c r="C75" s="95"/>
      <c r="D75" s="95"/>
      <c r="E75" s="95"/>
      <c r="F75" s="95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2">
      <c r="A76" s="18"/>
      <c r="B76" s="95"/>
      <c r="C76" s="95"/>
      <c r="D76" s="95"/>
      <c r="E76" s="95"/>
      <c r="F76" s="95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2">
      <c r="A77" s="18"/>
      <c r="B77" s="95"/>
      <c r="C77" s="95"/>
      <c r="D77" s="95"/>
      <c r="E77" s="95"/>
      <c r="F77" s="95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2">
      <c r="A78" s="18"/>
      <c r="B78" s="95"/>
      <c r="C78" s="95"/>
      <c r="D78" s="95"/>
      <c r="E78" s="95"/>
      <c r="F78" s="95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2">
      <c r="A79" s="18"/>
      <c r="B79" s="95"/>
      <c r="C79" s="95"/>
      <c r="D79" s="95"/>
      <c r="E79" s="95"/>
      <c r="F79" s="95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2">
      <c r="A80" s="18"/>
      <c r="B80" s="95"/>
      <c r="C80" s="95"/>
      <c r="D80" s="95"/>
      <c r="E80" s="95"/>
      <c r="F80" s="95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2">
      <c r="A81" s="18"/>
      <c r="B81" s="95"/>
      <c r="C81" s="95"/>
      <c r="D81" s="95"/>
      <c r="E81" s="95"/>
      <c r="F81" s="95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2">
      <c r="A82" s="18"/>
      <c r="B82" s="95"/>
      <c r="C82" s="95"/>
      <c r="D82" s="95"/>
      <c r="E82" s="95"/>
      <c r="F82" s="95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2">
      <c r="A83" s="18"/>
      <c r="B83" s="95"/>
      <c r="C83" s="95"/>
      <c r="D83" s="95"/>
      <c r="E83" s="95"/>
      <c r="F83" s="95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2">
      <c r="A84" s="18"/>
      <c r="B84" s="95"/>
      <c r="C84" s="95"/>
      <c r="D84" s="95"/>
      <c r="E84" s="95"/>
      <c r="F84" s="95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2">
      <c r="A85" s="18"/>
      <c r="B85" s="95"/>
      <c r="C85" s="95"/>
      <c r="D85" s="95"/>
      <c r="E85" s="95"/>
      <c r="F85" s="95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2">
      <c r="A86" s="18"/>
      <c r="B86" s="95"/>
      <c r="C86" s="95"/>
      <c r="D86" s="95"/>
      <c r="E86" s="95"/>
      <c r="F86" s="95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2">
      <c r="A87" s="18"/>
      <c r="B87" s="95"/>
      <c r="C87" s="95"/>
      <c r="D87" s="95"/>
      <c r="E87" s="95"/>
      <c r="F87" s="95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2">
      <c r="A88" s="18"/>
      <c r="B88" s="95"/>
      <c r="C88" s="95"/>
      <c r="D88" s="95"/>
      <c r="E88" s="95"/>
      <c r="F88" s="95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2">
      <c r="A89" s="18"/>
      <c r="B89" s="95"/>
      <c r="C89" s="95"/>
      <c r="D89" s="95"/>
      <c r="E89" s="95"/>
      <c r="F89" s="95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2">
      <c r="A90" s="18"/>
      <c r="B90" s="95"/>
      <c r="C90" s="95"/>
      <c r="D90" s="95"/>
      <c r="E90" s="95"/>
      <c r="F90" s="95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2">
      <c r="A91" s="18"/>
      <c r="B91" s="95"/>
      <c r="C91" s="95"/>
      <c r="D91" s="95"/>
      <c r="E91" s="95"/>
      <c r="F91" s="95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2">
      <c r="A92" s="18"/>
      <c r="B92" s="95"/>
      <c r="C92" s="95"/>
      <c r="D92" s="95"/>
      <c r="E92" s="95"/>
      <c r="F92" s="95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2">
      <c r="A93" s="18"/>
      <c r="B93" s="95"/>
      <c r="C93" s="95"/>
      <c r="D93" s="95"/>
      <c r="E93" s="95"/>
      <c r="F93" s="95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2">
      <c r="A94" s="18"/>
      <c r="B94" s="95"/>
      <c r="C94" s="95"/>
      <c r="D94" s="95"/>
      <c r="E94" s="95"/>
      <c r="F94" s="95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2">
      <c r="A95" s="18"/>
      <c r="B95" s="95"/>
      <c r="C95" s="95"/>
      <c r="D95" s="95"/>
      <c r="E95" s="95"/>
      <c r="F95" s="95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2">
      <c r="A96" s="18"/>
      <c r="B96" s="95"/>
      <c r="C96" s="95"/>
      <c r="D96" s="95"/>
      <c r="E96" s="95"/>
      <c r="F96" s="95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2">
      <c r="A97" s="18"/>
      <c r="B97" s="95"/>
      <c r="C97" s="95"/>
      <c r="D97" s="95"/>
      <c r="E97" s="95"/>
      <c r="F97" s="95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2">
      <c r="A98" s="18"/>
      <c r="B98" s="95"/>
      <c r="C98" s="95"/>
      <c r="D98" s="95"/>
      <c r="E98" s="95"/>
      <c r="F98" s="95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2">
      <c r="A99" s="18"/>
      <c r="B99" s="95"/>
      <c r="C99" s="95"/>
      <c r="D99" s="95"/>
      <c r="E99" s="95"/>
      <c r="F99" s="95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2">
      <c r="A100" s="18"/>
      <c r="B100" s="95"/>
      <c r="C100" s="95"/>
      <c r="D100" s="95"/>
      <c r="E100" s="95"/>
      <c r="F100" s="95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2">
      <c r="A101" s="18"/>
      <c r="B101" s="95"/>
      <c r="C101" s="95"/>
      <c r="D101" s="95"/>
      <c r="E101" s="95"/>
      <c r="F101" s="95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2">
      <c r="A102" s="18"/>
      <c r="B102" s="95"/>
      <c r="C102" s="95"/>
      <c r="D102" s="95"/>
      <c r="E102" s="95"/>
      <c r="F102" s="95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2">
      <c r="A103" s="18"/>
      <c r="B103" s="95"/>
      <c r="C103" s="95"/>
      <c r="D103" s="95"/>
      <c r="E103" s="95"/>
      <c r="F103" s="95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2">
      <c r="A104" s="18"/>
      <c r="B104" s="95"/>
      <c r="C104" s="95"/>
      <c r="D104" s="95"/>
      <c r="E104" s="95"/>
      <c r="F104" s="95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2">
      <c r="A105" s="18"/>
      <c r="B105" s="95"/>
      <c r="C105" s="95"/>
      <c r="D105" s="95"/>
      <c r="E105" s="95"/>
      <c r="F105" s="95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2">
      <c r="A106" s="18"/>
      <c r="B106" s="95"/>
      <c r="C106" s="95"/>
      <c r="D106" s="95"/>
      <c r="E106" s="95"/>
      <c r="F106" s="95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2">
      <c r="A107" s="18"/>
      <c r="B107" s="95"/>
      <c r="C107" s="95"/>
      <c r="D107" s="95"/>
      <c r="E107" s="95"/>
      <c r="F107" s="95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2">
      <c r="A108" s="18"/>
      <c r="B108" s="95"/>
      <c r="C108" s="95"/>
      <c r="D108" s="95"/>
      <c r="E108" s="95"/>
      <c r="F108" s="95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2">
      <c r="A109" s="18"/>
      <c r="B109" s="95"/>
      <c r="C109" s="95"/>
      <c r="D109" s="95"/>
      <c r="E109" s="95"/>
      <c r="F109" s="95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2">
      <c r="A110" s="18"/>
      <c r="B110" s="95"/>
      <c r="C110" s="95"/>
      <c r="D110" s="95"/>
      <c r="E110" s="95"/>
      <c r="F110" s="95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2">
      <c r="A111" s="18"/>
      <c r="B111" s="95"/>
      <c r="C111" s="95"/>
      <c r="D111" s="95"/>
      <c r="E111" s="95"/>
      <c r="F111" s="95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2">
      <c r="A112" s="18"/>
      <c r="B112" s="95"/>
      <c r="C112" s="95"/>
      <c r="D112" s="95"/>
      <c r="E112" s="95"/>
      <c r="F112" s="95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2">
      <c r="A113" s="18"/>
      <c r="B113" s="95"/>
      <c r="C113" s="95"/>
      <c r="D113" s="95"/>
      <c r="E113" s="95"/>
      <c r="F113" s="95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2">
      <c r="A114" s="18"/>
      <c r="B114" s="95"/>
      <c r="C114" s="95"/>
      <c r="D114" s="95"/>
      <c r="E114" s="95"/>
      <c r="F114" s="95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2">
      <c r="A115" s="18"/>
      <c r="B115" s="95"/>
      <c r="C115" s="95"/>
      <c r="D115" s="95"/>
      <c r="E115" s="95"/>
      <c r="F115" s="95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2">
      <c r="A116" s="18"/>
      <c r="B116" s="95"/>
      <c r="C116" s="95"/>
      <c r="D116" s="95"/>
      <c r="E116" s="95"/>
      <c r="F116" s="95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2">
      <c r="A117" s="18"/>
      <c r="B117" s="95"/>
      <c r="C117" s="95"/>
      <c r="D117" s="95"/>
      <c r="E117" s="95"/>
      <c r="F117" s="95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2">
      <c r="A118" s="18"/>
      <c r="B118" s="95"/>
      <c r="C118" s="95"/>
      <c r="D118" s="95"/>
      <c r="E118" s="95"/>
      <c r="F118" s="95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2">
      <c r="A119" s="18"/>
      <c r="B119" s="95"/>
      <c r="C119" s="95"/>
      <c r="D119" s="95"/>
      <c r="E119" s="95"/>
      <c r="F119" s="95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2">
      <c r="A120" s="18"/>
      <c r="B120" s="95"/>
      <c r="C120" s="95"/>
      <c r="D120" s="95"/>
      <c r="E120" s="95"/>
      <c r="F120" s="95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2">
      <c r="A121" s="18"/>
      <c r="B121" s="95"/>
      <c r="C121" s="95"/>
      <c r="D121" s="95"/>
      <c r="E121" s="95"/>
      <c r="F121" s="95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2">
      <c r="A122" s="18"/>
      <c r="B122" s="95"/>
      <c r="C122" s="95"/>
      <c r="D122" s="95"/>
      <c r="E122" s="95"/>
      <c r="F122" s="95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2">
      <c r="A123" s="18"/>
      <c r="B123" s="95"/>
      <c r="C123" s="95"/>
      <c r="D123" s="95"/>
      <c r="E123" s="95"/>
      <c r="F123" s="95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2">
      <c r="A124" s="18"/>
      <c r="B124" s="95"/>
      <c r="C124" s="95"/>
      <c r="D124" s="95"/>
      <c r="E124" s="95"/>
      <c r="F124" s="95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2">
      <c r="A125" s="18"/>
      <c r="B125" s="95"/>
      <c r="C125" s="95"/>
      <c r="D125" s="95"/>
      <c r="E125" s="95"/>
      <c r="F125" s="95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2">
      <c r="A126" s="18"/>
      <c r="B126" s="95"/>
      <c r="C126" s="95"/>
      <c r="D126" s="95"/>
      <c r="E126" s="95"/>
      <c r="F126" s="95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2">
      <c r="A127" s="18"/>
      <c r="B127" s="95"/>
      <c r="C127" s="95"/>
      <c r="D127" s="95"/>
      <c r="E127" s="95"/>
      <c r="F127" s="95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2">
      <c r="A128" s="18"/>
      <c r="B128" s="95"/>
      <c r="C128" s="95"/>
      <c r="D128" s="95"/>
      <c r="E128" s="95"/>
      <c r="F128" s="95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2">
      <c r="A129" s="18"/>
      <c r="B129" s="95"/>
      <c r="C129" s="95"/>
      <c r="D129" s="95"/>
      <c r="E129" s="95"/>
      <c r="F129" s="95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2">
      <c r="A130" s="18"/>
      <c r="B130" s="95"/>
      <c r="C130" s="95"/>
      <c r="D130" s="95"/>
      <c r="E130" s="95"/>
      <c r="F130" s="95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2">
      <c r="A131" s="18"/>
      <c r="B131" s="95"/>
      <c r="C131" s="95"/>
      <c r="D131" s="95"/>
      <c r="E131" s="95"/>
      <c r="F131" s="95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2">
      <c r="A132" s="18"/>
      <c r="B132" s="95"/>
      <c r="C132" s="95"/>
      <c r="D132" s="95"/>
      <c r="E132" s="95"/>
      <c r="F132" s="95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2">
      <c r="A133" s="18"/>
      <c r="B133" s="95"/>
      <c r="C133" s="95"/>
      <c r="D133" s="95"/>
      <c r="E133" s="95"/>
      <c r="F133" s="95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2">
      <c r="A134" s="18"/>
      <c r="B134" s="95"/>
      <c r="C134" s="95"/>
      <c r="D134" s="95"/>
      <c r="E134" s="95"/>
      <c r="F134" s="95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2">
      <c r="A135" s="18"/>
      <c r="B135" s="95"/>
      <c r="C135" s="95"/>
      <c r="D135" s="95"/>
      <c r="E135" s="95"/>
      <c r="F135" s="95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2">
      <c r="A136" s="18"/>
      <c r="B136" s="95"/>
      <c r="C136" s="95"/>
      <c r="D136" s="95"/>
      <c r="E136" s="95"/>
      <c r="F136" s="95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2">
      <c r="A137" s="18"/>
      <c r="B137" s="95"/>
      <c r="C137" s="95"/>
      <c r="D137" s="95"/>
      <c r="E137" s="95"/>
      <c r="F137" s="95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2">
      <c r="A138" s="18"/>
      <c r="B138" s="95"/>
      <c r="C138" s="95"/>
      <c r="D138" s="95"/>
      <c r="E138" s="95"/>
      <c r="F138" s="95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2">
      <c r="A139" s="18"/>
      <c r="B139" s="95"/>
      <c r="C139" s="95"/>
      <c r="D139" s="95"/>
      <c r="E139" s="95"/>
      <c r="F139" s="95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2">
      <c r="A140" s="18"/>
      <c r="B140" s="95"/>
      <c r="C140" s="95"/>
      <c r="D140" s="95"/>
      <c r="E140" s="95"/>
      <c r="F140" s="95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2">
      <c r="A141" s="18"/>
      <c r="B141" s="95"/>
      <c r="C141" s="95"/>
      <c r="D141" s="95"/>
      <c r="E141" s="95"/>
      <c r="F141" s="95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2">
      <c r="A142" s="18"/>
      <c r="B142" s="95"/>
      <c r="C142" s="95"/>
      <c r="D142" s="95"/>
      <c r="E142" s="95"/>
      <c r="F142" s="95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2">
      <c r="A143" s="18"/>
      <c r="B143" s="95"/>
      <c r="C143" s="95"/>
      <c r="D143" s="95"/>
      <c r="E143" s="95"/>
      <c r="F143" s="95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2">
      <c r="A144" s="18"/>
      <c r="B144" s="95"/>
      <c r="C144" s="95"/>
      <c r="D144" s="95"/>
      <c r="E144" s="95"/>
      <c r="F144" s="95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2">
      <c r="A145" s="18"/>
      <c r="B145" s="95"/>
      <c r="C145" s="95"/>
      <c r="D145" s="95"/>
      <c r="E145" s="95"/>
      <c r="F145" s="95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2">
      <c r="A146" s="18"/>
      <c r="B146" s="95"/>
      <c r="C146" s="95"/>
      <c r="D146" s="95"/>
      <c r="E146" s="95"/>
      <c r="F146" s="95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2">
      <c r="A147" s="18"/>
      <c r="B147" s="95"/>
      <c r="C147" s="95"/>
      <c r="D147" s="95"/>
      <c r="E147" s="95"/>
      <c r="F147" s="95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2">
      <c r="A148" s="18"/>
      <c r="B148" s="95"/>
      <c r="C148" s="95"/>
      <c r="D148" s="95"/>
      <c r="E148" s="95"/>
      <c r="F148" s="95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2">
      <c r="A149" s="18"/>
      <c r="B149" s="95"/>
      <c r="C149" s="95"/>
      <c r="D149" s="95"/>
      <c r="E149" s="95"/>
      <c r="F149" s="95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2">
      <c r="A150" s="18"/>
      <c r="B150" s="95"/>
      <c r="C150" s="95"/>
      <c r="D150" s="95"/>
      <c r="E150" s="95"/>
      <c r="F150" s="95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2">
      <c r="A151" s="18"/>
      <c r="B151" s="95"/>
      <c r="C151" s="95"/>
      <c r="D151" s="95"/>
      <c r="E151" s="95"/>
      <c r="F151" s="95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2">
      <c r="A152" s="18"/>
      <c r="B152" s="95"/>
      <c r="C152" s="95"/>
      <c r="D152" s="95"/>
      <c r="E152" s="95"/>
      <c r="F152" s="95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2">
      <c r="A153" s="18"/>
      <c r="B153" s="95"/>
      <c r="C153" s="95"/>
      <c r="D153" s="95"/>
      <c r="E153" s="95"/>
      <c r="F153" s="95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2">
      <c r="A154" s="18"/>
      <c r="B154" s="95"/>
      <c r="C154" s="95"/>
      <c r="D154" s="95"/>
      <c r="E154" s="95"/>
      <c r="F154" s="95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2">
      <c r="A155" s="18"/>
      <c r="B155" s="95"/>
      <c r="C155" s="95"/>
      <c r="D155" s="95"/>
      <c r="E155" s="95"/>
      <c r="F155" s="95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2">
      <c r="A156" s="18"/>
      <c r="B156" s="95"/>
      <c r="C156" s="95"/>
      <c r="D156" s="95"/>
      <c r="E156" s="95"/>
      <c r="F156" s="95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2">
      <c r="A157" s="18"/>
      <c r="B157" s="95"/>
      <c r="C157" s="95"/>
      <c r="D157" s="95"/>
      <c r="E157" s="95"/>
      <c r="F157" s="95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2">
      <c r="A158" s="18"/>
      <c r="B158" s="95"/>
      <c r="C158" s="95"/>
      <c r="D158" s="95"/>
      <c r="E158" s="95"/>
      <c r="F158" s="95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2">
      <c r="A159" s="18"/>
      <c r="B159" s="95"/>
      <c r="C159" s="95"/>
      <c r="D159" s="95"/>
      <c r="E159" s="95"/>
      <c r="F159" s="95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2">
      <c r="A160" s="18"/>
      <c r="B160" s="95"/>
      <c r="C160" s="95"/>
      <c r="D160" s="95"/>
      <c r="E160" s="95"/>
      <c r="F160" s="95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2">
      <c r="A161" s="18"/>
      <c r="B161" s="95"/>
      <c r="C161" s="95"/>
      <c r="D161" s="95"/>
      <c r="E161" s="95"/>
      <c r="F161" s="95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2">
      <c r="A162" s="18"/>
      <c r="B162" s="95"/>
      <c r="C162" s="95"/>
      <c r="D162" s="95"/>
      <c r="E162" s="95"/>
      <c r="F162" s="95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2">
      <c r="A163" s="18"/>
      <c r="B163" s="95"/>
      <c r="C163" s="95"/>
      <c r="D163" s="95"/>
      <c r="E163" s="95"/>
      <c r="F163" s="95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2">
      <c r="A164" s="18"/>
      <c r="B164" s="95"/>
      <c r="C164" s="95"/>
      <c r="D164" s="95"/>
      <c r="E164" s="95"/>
      <c r="F164" s="95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2">
      <c r="A165" s="18"/>
      <c r="B165" s="95"/>
      <c r="C165" s="95"/>
      <c r="D165" s="95"/>
      <c r="E165" s="95"/>
      <c r="F165" s="95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2">
      <c r="A166" s="18"/>
      <c r="B166" s="95"/>
      <c r="C166" s="95"/>
      <c r="D166" s="95"/>
      <c r="E166" s="95"/>
      <c r="F166" s="95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2">
      <c r="A167" s="18"/>
      <c r="B167" s="95"/>
      <c r="C167" s="95"/>
      <c r="D167" s="95"/>
      <c r="E167" s="95"/>
      <c r="F167" s="95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2">
      <c r="A168" s="18"/>
      <c r="B168" s="95"/>
      <c r="C168" s="95"/>
      <c r="D168" s="95"/>
      <c r="E168" s="95"/>
      <c r="F168" s="95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2">
      <c r="A169" s="18"/>
      <c r="B169" s="95"/>
      <c r="C169" s="95"/>
      <c r="D169" s="95"/>
      <c r="E169" s="95"/>
      <c r="F169" s="95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2">
      <c r="A170" s="18"/>
      <c r="B170" s="95"/>
      <c r="C170" s="95"/>
      <c r="D170" s="95"/>
      <c r="E170" s="95"/>
      <c r="F170" s="95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2">
      <c r="A171" s="18"/>
      <c r="B171" s="95"/>
      <c r="C171" s="95"/>
      <c r="D171" s="95"/>
      <c r="E171" s="95"/>
      <c r="F171" s="95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2">
      <c r="A172" s="18"/>
      <c r="B172" s="95"/>
      <c r="C172" s="95"/>
      <c r="D172" s="95"/>
      <c r="E172" s="95"/>
      <c r="F172" s="95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2">
      <c r="A173" s="18"/>
      <c r="B173" s="95"/>
      <c r="C173" s="95"/>
      <c r="D173" s="95"/>
      <c r="E173" s="95"/>
      <c r="F173" s="95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2">
      <c r="A174" s="18"/>
      <c r="B174" s="95"/>
      <c r="C174" s="95"/>
      <c r="D174" s="95"/>
      <c r="E174" s="95"/>
      <c r="F174" s="95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2">
      <c r="A175" s="18"/>
      <c r="B175" s="95"/>
      <c r="C175" s="95"/>
      <c r="D175" s="95"/>
      <c r="E175" s="95"/>
      <c r="F175" s="95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2">
      <c r="A176" s="18"/>
      <c r="B176" s="95"/>
      <c r="C176" s="95"/>
      <c r="D176" s="95"/>
      <c r="E176" s="95"/>
      <c r="F176" s="95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2">
      <c r="A177" s="18"/>
      <c r="B177" s="95"/>
      <c r="C177" s="95"/>
      <c r="D177" s="95"/>
      <c r="E177" s="95"/>
      <c r="F177" s="95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2">
      <c r="A178" s="18"/>
      <c r="B178" s="95"/>
      <c r="C178" s="95"/>
      <c r="D178" s="95"/>
      <c r="E178" s="95"/>
      <c r="F178" s="95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2">
      <c r="A179" s="18"/>
      <c r="B179" s="95"/>
      <c r="C179" s="95"/>
      <c r="D179" s="95"/>
      <c r="E179" s="95"/>
      <c r="F179" s="95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2">
      <c r="A180" s="18"/>
      <c r="B180" s="95"/>
      <c r="C180" s="95"/>
      <c r="D180" s="95"/>
      <c r="E180" s="95"/>
      <c r="F180" s="95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2">
      <c r="A181" s="18"/>
      <c r="B181" s="95"/>
      <c r="C181" s="95"/>
      <c r="D181" s="95"/>
      <c r="E181" s="95"/>
      <c r="F181" s="95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2">
      <c r="A182" s="18"/>
      <c r="B182" s="95"/>
      <c r="C182" s="95"/>
      <c r="D182" s="95"/>
      <c r="E182" s="95"/>
      <c r="F182" s="95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2">
      <c r="A183" s="18"/>
      <c r="B183" s="95"/>
      <c r="C183" s="95"/>
      <c r="D183" s="95"/>
      <c r="E183" s="95"/>
      <c r="F183" s="95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2">
      <c r="A184" s="18"/>
      <c r="B184" s="95"/>
      <c r="C184" s="95"/>
      <c r="D184" s="95"/>
      <c r="E184" s="95"/>
      <c r="F184" s="95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2">
      <c r="A185" s="18"/>
      <c r="B185" s="95"/>
      <c r="C185" s="95"/>
      <c r="D185" s="95"/>
      <c r="E185" s="95"/>
      <c r="F185" s="95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2">
      <c r="A186" s="18"/>
      <c r="B186" s="95"/>
      <c r="C186" s="95"/>
      <c r="D186" s="95"/>
      <c r="E186" s="95"/>
      <c r="F186" s="95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2">
      <c r="A187" s="18"/>
      <c r="B187" s="95"/>
      <c r="C187" s="95"/>
      <c r="D187" s="95"/>
      <c r="E187" s="95"/>
      <c r="F187" s="95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2">
      <c r="A188" s="18"/>
      <c r="B188" s="95"/>
      <c r="C188" s="95"/>
      <c r="D188" s="95"/>
      <c r="E188" s="95"/>
      <c r="F188" s="95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2">
      <c r="A189" s="18"/>
      <c r="B189" s="95"/>
      <c r="C189" s="95"/>
      <c r="D189" s="95"/>
      <c r="E189" s="95"/>
      <c r="F189" s="95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2">
      <c r="A190" s="18"/>
      <c r="B190" s="95"/>
      <c r="C190" s="95"/>
      <c r="D190" s="95"/>
      <c r="E190" s="95"/>
      <c r="F190" s="95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2">
      <c r="A191" s="18"/>
      <c r="B191" s="95"/>
      <c r="C191" s="95"/>
      <c r="D191" s="95"/>
      <c r="E191" s="95"/>
      <c r="F191" s="95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2">
      <c r="A192" s="18"/>
      <c r="B192" s="95"/>
      <c r="C192" s="95"/>
      <c r="D192" s="95"/>
      <c r="E192" s="95"/>
      <c r="F192" s="95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2">
      <c r="A193" s="18"/>
      <c r="B193" s="95"/>
      <c r="C193" s="95"/>
      <c r="D193" s="95"/>
      <c r="E193" s="95"/>
      <c r="F193" s="95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2">
      <c r="A194" s="18"/>
      <c r="B194" s="95"/>
      <c r="C194" s="95"/>
      <c r="D194" s="95"/>
      <c r="E194" s="95"/>
      <c r="F194" s="95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2">
      <c r="A195" s="18"/>
      <c r="B195" s="95"/>
      <c r="C195" s="95"/>
      <c r="D195" s="95"/>
      <c r="E195" s="95"/>
      <c r="F195" s="95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2">
      <c r="A196" s="18"/>
      <c r="B196" s="95"/>
      <c r="C196" s="95"/>
      <c r="D196" s="95"/>
      <c r="E196" s="95"/>
      <c r="F196" s="95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2">
      <c r="A197" s="18"/>
      <c r="B197" s="95"/>
      <c r="C197" s="95"/>
      <c r="D197" s="95"/>
      <c r="E197" s="95"/>
      <c r="F197" s="95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2">
      <c r="A198" s="18"/>
      <c r="B198" s="95"/>
      <c r="C198" s="95"/>
      <c r="D198" s="95"/>
      <c r="E198" s="95"/>
      <c r="F198" s="95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2">
      <c r="A199" s="18"/>
      <c r="B199" s="95"/>
      <c r="C199" s="95"/>
      <c r="D199" s="95"/>
      <c r="E199" s="95"/>
      <c r="F199" s="95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2">
      <c r="A200" s="18"/>
      <c r="B200" s="95"/>
      <c r="C200" s="95"/>
      <c r="D200" s="95"/>
      <c r="E200" s="95"/>
      <c r="F200" s="95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2">
      <c r="A201" s="18"/>
      <c r="B201" s="95"/>
      <c r="C201" s="95"/>
      <c r="D201" s="95"/>
      <c r="E201" s="95"/>
      <c r="F201" s="95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2">
      <c r="A202" s="18"/>
      <c r="B202" s="95"/>
      <c r="C202" s="95"/>
      <c r="D202" s="95"/>
      <c r="E202" s="95"/>
      <c r="F202" s="95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2">
      <c r="A203" s="18"/>
      <c r="B203" s="95"/>
      <c r="C203" s="95"/>
      <c r="D203" s="95"/>
      <c r="E203" s="95"/>
      <c r="F203" s="95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2">
      <c r="A204" s="18"/>
      <c r="B204" s="95"/>
      <c r="C204" s="95"/>
      <c r="D204" s="95"/>
      <c r="E204" s="95"/>
      <c r="F204" s="95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2">
      <c r="A205" s="18"/>
      <c r="B205" s="95"/>
      <c r="C205" s="95"/>
      <c r="D205" s="95"/>
      <c r="E205" s="95"/>
      <c r="F205" s="95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2">
      <c r="A206" s="18"/>
      <c r="B206" s="95"/>
      <c r="C206" s="95"/>
      <c r="D206" s="95"/>
      <c r="E206" s="95"/>
      <c r="F206" s="95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2">
      <c r="A207" s="18"/>
      <c r="B207" s="95"/>
      <c r="C207" s="95"/>
      <c r="D207" s="95"/>
      <c r="E207" s="95"/>
      <c r="F207" s="95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2">
      <c r="A208" s="18"/>
      <c r="B208" s="95"/>
      <c r="C208" s="95"/>
      <c r="D208" s="95"/>
      <c r="E208" s="95"/>
      <c r="F208" s="95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2">
      <c r="A209" s="18"/>
      <c r="B209" s="95"/>
      <c r="C209" s="95"/>
      <c r="D209" s="95"/>
      <c r="E209" s="95"/>
      <c r="F209" s="95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2">
      <c r="A210" s="18"/>
      <c r="B210" s="95"/>
      <c r="C210" s="95"/>
      <c r="D210" s="95"/>
      <c r="E210" s="95"/>
      <c r="F210" s="95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2">
      <c r="A211" s="18"/>
      <c r="B211" s="95"/>
      <c r="C211" s="95"/>
      <c r="D211" s="95"/>
      <c r="E211" s="95"/>
      <c r="F211" s="95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2">
      <c r="A212" s="18"/>
      <c r="B212" s="95"/>
      <c r="C212" s="95"/>
      <c r="D212" s="95"/>
      <c r="E212" s="95"/>
      <c r="F212" s="95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2">
      <c r="A213" s="18"/>
      <c r="B213" s="95"/>
      <c r="C213" s="95"/>
      <c r="D213" s="95"/>
      <c r="E213" s="95"/>
      <c r="F213" s="95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2">
      <c r="A214" s="18"/>
      <c r="B214" s="95"/>
      <c r="C214" s="95"/>
      <c r="D214" s="95"/>
      <c r="E214" s="95"/>
      <c r="F214" s="95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2">
      <c r="A215" s="18"/>
      <c r="B215" s="95"/>
      <c r="C215" s="95"/>
      <c r="D215" s="95"/>
      <c r="E215" s="95"/>
      <c r="F215" s="95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2">
      <c r="A216" s="18"/>
      <c r="B216" s="95"/>
      <c r="C216" s="95"/>
      <c r="D216" s="95"/>
      <c r="E216" s="95"/>
      <c r="F216" s="95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2">
      <c r="A217" s="18"/>
      <c r="B217" s="95"/>
      <c r="C217" s="95"/>
      <c r="D217" s="95"/>
      <c r="E217" s="95"/>
      <c r="F217" s="95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2">
      <c r="A218" s="18"/>
      <c r="B218" s="95"/>
      <c r="C218" s="95"/>
      <c r="D218" s="95"/>
      <c r="E218" s="95"/>
      <c r="F218" s="95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2">
      <c r="A219" s="18"/>
      <c r="B219" s="95"/>
      <c r="C219" s="95"/>
      <c r="D219" s="95"/>
      <c r="E219" s="95"/>
      <c r="F219" s="95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2">
      <c r="A220" s="18"/>
      <c r="B220" s="95"/>
      <c r="C220" s="95"/>
      <c r="D220" s="95"/>
      <c r="E220" s="95"/>
      <c r="F220" s="95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2">
      <c r="A221" s="18"/>
      <c r="B221" s="95"/>
      <c r="C221" s="95"/>
      <c r="D221" s="95"/>
      <c r="E221" s="95"/>
      <c r="F221" s="95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2">
      <c r="A222" s="18"/>
      <c r="B222" s="95"/>
      <c r="C222" s="95"/>
      <c r="D222" s="95"/>
      <c r="E222" s="95"/>
      <c r="F222" s="95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2">
      <c r="A223" s="18"/>
      <c r="B223" s="95"/>
      <c r="C223" s="95"/>
      <c r="D223" s="95"/>
      <c r="E223" s="95"/>
      <c r="F223" s="95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2">
      <c r="A224" s="18"/>
      <c r="B224" s="95"/>
      <c r="C224" s="95"/>
      <c r="D224" s="95"/>
      <c r="E224" s="95"/>
      <c r="F224" s="95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2">
      <c r="A225" s="18"/>
      <c r="B225" s="95"/>
      <c r="C225" s="95"/>
      <c r="D225" s="95"/>
      <c r="E225" s="95"/>
      <c r="F225" s="95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2">
      <c r="A226" s="18"/>
      <c r="B226" s="95"/>
      <c r="C226" s="95"/>
      <c r="D226" s="95"/>
      <c r="E226" s="95"/>
      <c r="F226" s="95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2">
      <c r="A227" s="18"/>
      <c r="B227" s="95"/>
      <c r="C227" s="95"/>
      <c r="D227" s="95"/>
      <c r="E227" s="95"/>
      <c r="F227" s="95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2">
      <c r="A228" s="18"/>
      <c r="B228" s="95"/>
      <c r="C228" s="95"/>
      <c r="D228" s="95"/>
      <c r="E228" s="95"/>
      <c r="F228" s="95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2">
      <c r="A229" s="18"/>
      <c r="B229" s="95"/>
      <c r="C229" s="95"/>
      <c r="D229" s="95"/>
      <c r="E229" s="95"/>
      <c r="F229" s="95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2">
      <c r="A230" s="18"/>
      <c r="B230" s="95"/>
      <c r="C230" s="95"/>
      <c r="D230" s="95"/>
      <c r="E230" s="95"/>
      <c r="F230" s="95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2">
      <c r="A231" s="18"/>
      <c r="B231" s="95"/>
      <c r="C231" s="95"/>
      <c r="D231" s="95"/>
      <c r="E231" s="95"/>
      <c r="F231" s="95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2">
      <c r="A232" s="18"/>
      <c r="B232" s="95"/>
      <c r="C232" s="95"/>
      <c r="D232" s="95"/>
      <c r="E232" s="95"/>
      <c r="F232" s="95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2">
      <c r="A233" s="18"/>
      <c r="B233" s="95"/>
      <c r="C233" s="95"/>
      <c r="D233" s="95"/>
      <c r="E233" s="95"/>
      <c r="F233" s="95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2">
      <c r="A234" s="18"/>
      <c r="B234" s="95"/>
      <c r="C234" s="95"/>
      <c r="D234" s="95"/>
      <c r="E234" s="95"/>
      <c r="F234" s="95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2">
      <c r="A235" s="18"/>
      <c r="B235" s="95"/>
      <c r="C235" s="95"/>
      <c r="D235" s="95"/>
      <c r="E235" s="95"/>
      <c r="F235" s="95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2">
      <c r="A236" s="18"/>
      <c r="B236" s="95"/>
      <c r="C236" s="95"/>
      <c r="D236" s="95"/>
      <c r="E236" s="95"/>
      <c r="F236" s="95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2">
      <c r="A237" s="18"/>
      <c r="B237" s="95"/>
      <c r="C237" s="95"/>
      <c r="D237" s="95"/>
      <c r="E237" s="95"/>
      <c r="F237" s="95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2">
      <c r="A238" s="18"/>
      <c r="B238" s="95"/>
      <c r="C238" s="95"/>
      <c r="D238" s="95"/>
      <c r="E238" s="95"/>
      <c r="F238" s="95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2">
      <c r="A239" s="18"/>
      <c r="B239" s="95"/>
      <c r="C239" s="95"/>
      <c r="D239" s="95"/>
      <c r="E239" s="95"/>
      <c r="F239" s="95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2">
      <c r="A240" s="18"/>
      <c r="B240" s="95"/>
      <c r="C240" s="95"/>
      <c r="D240" s="95"/>
      <c r="E240" s="95"/>
      <c r="F240" s="95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2">
      <c r="A241" s="18"/>
      <c r="B241" s="95"/>
      <c r="C241" s="95"/>
      <c r="D241" s="95"/>
      <c r="E241" s="95"/>
      <c r="F241" s="95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2">
      <c r="A242" s="18"/>
      <c r="B242" s="95"/>
      <c r="C242" s="95"/>
      <c r="D242" s="95"/>
      <c r="E242" s="95"/>
      <c r="F242" s="95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2">
      <c r="A243" s="18"/>
      <c r="B243" s="95"/>
      <c r="C243" s="95"/>
      <c r="D243" s="95"/>
      <c r="E243" s="95"/>
      <c r="F243" s="95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2">
      <c r="A244" s="18"/>
      <c r="B244" s="95"/>
      <c r="C244" s="95"/>
      <c r="D244" s="95"/>
      <c r="E244" s="95"/>
      <c r="F244" s="95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2">
      <c r="A245" s="18"/>
      <c r="B245" s="95"/>
      <c r="C245" s="95"/>
      <c r="D245" s="95"/>
      <c r="E245" s="95"/>
      <c r="F245" s="95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2">
      <c r="A246" s="18"/>
      <c r="B246" s="95"/>
      <c r="C246" s="95"/>
      <c r="D246" s="95"/>
      <c r="E246" s="95"/>
      <c r="F246" s="95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2">
      <c r="A247" s="18"/>
      <c r="B247" s="95"/>
      <c r="C247" s="95"/>
      <c r="D247" s="95"/>
      <c r="E247" s="95"/>
      <c r="F247" s="95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2">
      <c r="A248" s="18"/>
      <c r="B248" s="95"/>
      <c r="C248" s="95"/>
      <c r="D248" s="95"/>
      <c r="E248" s="95"/>
      <c r="F248" s="95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2">
      <c r="A249" s="18"/>
      <c r="B249" s="95"/>
      <c r="C249" s="95"/>
      <c r="D249" s="95"/>
      <c r="E249" s="95"/>
      <c r="F249" s="95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2">
      <c r="A250" s="18"/>
      <c r="B250" s="95"/>
      <c r="C250" s="95"/>
      <c r="D250" s="95"/>
      <c r="E250" s="95"/>
      <c r="F250" s="95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2">
      <c r="A251" s="18"/>
      <c r="B251" s="95"/>
      <c r="C251" s="95"/>
      <c r="D251" s="95"/>
      <c r="E251" s="95"/>
      <c r="F251" s="95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2">
      <c r="A252" s="18"/>
      <c r="B252" s="95"/>
      <c r="C252" s="95"/>
      <c r="D252" s="95"/>
      <c r="E252" s="95"/>
      <c r="F252" s="95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2">
      <c r="A253" s="18"/>
      <c r="B253" s="95"/>
      <c r="C253" s="95"/>
      <c r="D253" s="95"/>
      <c r="E253" s="95"/>
      <c r="F253" s="95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2">
      <c r="A254" s="18"/>
      <c r="B254" s="95"/>
      <c r="C254" s="95"/>
      <c r="D254" s="95"/>
      <c r="E254" s="95"/>
      <c r="F254" s="95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2">
      <c r="A255" s="18"/>
      <c r="B255" s="95"/>
      <c r="C255" s="95"/>
      <c r="D255" s="95"/>
      <c r="E255" s="95"/>
      <c r="F255" s="95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2">
      <c r="A256" s="18"/>
      <c r="B256" s="95"/>
      <c r="C256" s="95"/>
      <c r="D256" s="95"/>
      <c r="E256" s="95"/>
      <c r="F256" s="95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2">
      <c r="A257" s="18"/>
      <c r="B257" s="95"/>
      <c r="C257" s="95"/>
      <c r="D257" s="95"/>
      <c r="E257" s="95"/>
      <c r="F257" s="95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2">
      <c r="A258" s="18"/>
      <c r="B258" s="95"/>
      <c r="C258" s="95"/>
      <c r="D258" s="95"/>
      <c r="E258" s="95"/>
      <c r="F258" s="95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2">
      <c r="A259" s="18"/>
      <c r="B259" s="95"/>
      <c r="C259" s="95"/>
      <c r="D259" s="95"/>
      <c r="E259" s="95"/>
      <c r="F259" s="95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2">
      <c r="A260" s="18"/>
      <c r="B260" s="95"/>
      <c r="C260" s="95"/>
      <c r="D260" s="95"/>
      <c r="E260" s="95"/>
      <c r="F260" s="95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2">
      <c r="A261" s="18"/>
      <c r="B261" s="95"/>
      <c r="C261" s="95"/>
      <c r="D261" s="95"/>
      <c r="E261" s="95"/>
      <c r="F261" s="95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2">
      <c r="A262" s="18"/>
      <c r="B262" s="95"/>
      <c r="C262" s="95"/>
      <c r="D262" s="95"/>
      <c r="E262" s="95"/>
      <c r="F262" s="95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2">
      <c r="A263" s="18"/>
      <c r="B263" s="95"/>
      <c r="C263" s="95"/>
      <c r="D263" s="95"/>
      <c r="E263" s="95"/>
      <c r="F263" s="95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2">
      <c r="A264" s="18"/>
      <c r="B264" s="95"/>
      <c r="C264" s="95"/>
      <c r="D264" s="95"/>
      <c r="E264" s="95"/>
      <c r="F264" s="95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2">
      <c r="A265" s="18"/>
      <c r="B265" s="95"/>
      <c r="C265" s="95"/>
      <c r="D265" s="95"/>
      <c r="E265" s="95"/>
      <c r="F265" s="95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2">
      <c r="A266" s="18"/>
      <c r="B266" s="95"/>
      <c r="C266" s="95"/>
      <c r="D266" s="95"/>
      <c r="E266" s="95"/>
      <c r="F266" s="95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2">
      <c r="A267" s="18"/>
      <c r="B267" s="95"/>
      <c r="C267" s="95"/>
      <c r="D267" s="95"/>
      <c r="E267" s="95"/>
      <c r="F267" s="95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2">
      <c r="A268" s="18"/>
      <c r="B268" s="95"/>
      <c r="C268" s="95"/>
      <c r="D268" s="95"/>
      <c r="E268" s="95"/>
      <c r="F268" s="95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2">
      <c r="A269" s="18"/>
      <c r="B269" s="95"/>
      <c r="C269" s="95"/>
      <c r="D269" s="95"/>
      <c r="E269" s="95"/>
      <c r="F269" s="95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2">
      <c r="A270" s="18"/>
      <c r="B270" s="95"/>
      <c r="C270" s="95"/>
      <c r="D270" s="95"/>
      <c r="E270" s="95"/>
      <c r="F270" s="95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2">
      <c r="A271" s="18"/>
      <c r="B271" s="95"/>
      <c r="C271" s="95"/>
      <c r="D271" s="95"/>
      <c r="E271" s="95"/>
      <c r="F271" s="95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2">
      <c r="A272" s="18"/>
      <c r="B272" s="95"/>
      <c r="C272" s="95"/>
      <c r="D272" s="95"/>
      <c r="E272" s="95"/>
      <c r="F272" s="95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2">
      <c r="A273" s="18"/>
      <c r="B273" s="95"/>
      <c r="C273" s="95"/>
      <c r="D273" s="95"/>
      <c r="E273" s="95"/>
      <c r="F273" s="95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2">
      <c r="A274" s="18"/>
      <c r="B274" s="95"/>
      <c r="C274" s="95"/>
      <c r="D274" s="95"/>
      <c r="E274" s="95"/>
      <c r="F274" s="95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2">
      <c r="A275" s="18"/>
      <c r="B275" s="95"/>
      <c r="C275" s="95"/>
      <c r="D275" s="95"/>
      <c r="E275" s="95"/>
      <c r="F275" s="95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2">
      <c r="A276" s="18"/>
      <c r="B276" s="95"/>
      <c r="C276" s="95"/>
      <c r="D276" s="95"/>
      <c r="E276" s="95"/>
      <c r="F276" s="95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2">
      <c r="A277" s="18"/>
      <c r="B277" s="95"/>
      <c r="C277" s="95"/>
      <c r="D277" s="95"/>
      <c r="E277" s="95"/>
      <c r="F277" s="95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2">
      <c r="A278" s="18"/>
      <c r="B278" s="95"/>
      <c r="C278" s="95"/>
      <c r="D278" s="95"/>
      <c r="E278" s="95"/>
      <c r="F278" s="95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2">
      <c r="A279" s="18"/>
      <c r="B279" s="95"/>
      <c r="C279" s="95"/>
      <c r="D279" s="95"/>
      <c r="E279" s="95"/>
      <c r="F279" s="95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2">
      <c r="A280" s="18"/>
      <c r="B280" s="95"/>
      <c r="C280" s="95"/>
      <c r="D280" s="95"/>
      <c r="E280" s="95"/>
      <c r="F280" s="95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2">
      <c r="A281" s="18"/>
      <c r="B281" s="95"/>
      <c r="C281" s="95"/>
      <c r="D281" s="95"/>
      <c r="E281" s="95"/>
      <c r="F281" s="95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2">
      <c r="A282" s="18"/>
      <c r="B282" s="95"/>
      <c r="C282" s="95"/>
      <c r="D282" s="95"/>
      <c r="E282" s="95"/>
      <c r="F282" s="95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2">
      <c r="A283" s="18"/>
      <c r="B283" s="95"/>
      <c r="C283" s="95"/>
      <c r="D283" s="95"/>
      <c r="E283" s="95"/>
      <c r="F283" s="95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2">
      <c r="A284" s="18"/>
      <c r="B284" s="95"/>
      <c r="C284" s="95"/>
      <c r="D284" s="95"/>
      <c r="E284" s="95"/>
      <c r="F284" s="95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2">
      <c r="A285" s="18"/>
      <c r="B285" s="95"/>
      <c r="C285" s="95"/>
      <c r="D285" s="95"/>
      <c r="E285" s="95"/>
      <c r="F285" s="95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2">
      <c r="A286" s="18"/>
      <c r="B286" s="95"/>
      <c r="C286" s="95"/>
      <c r="D286" s="95"/>
      <c r="E286" s="95"/>
      <c r="F286" s="95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2">
      <c r="A287" s="18"/>
      <c r="B287" s="95"/>
      <c r="C287" s="95"/>
      <c r="D287" s="95"/>
      <c r="E287" s="95"/>
      <c r="F287" s="95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2">
      <c r="A288" s="18"/>
      <c r="B288" s="95"/>
      <c r="C288" s="95"/>
      <c r="D288" s="95"/>
      <c r="E288" s="95"/>
      <c r="F288" s="95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2">
      <c r="A289" s="18"/>
      <c r="B289" s="95"/>
      <c r="C289" s="95"/>
      <c r="D289" s="95"/>
      <c r="E289" s="95"/>
      <c r="F289" s="95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2">
      <c r="A290" s="18"/>
      <c r="B290" s="95"/>
      <c r="C290" s="95"/>
      <c r="D290" s="95"/>
      <c r="E290" s="95"/>
      <c r="F290" s="95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2">
      <c r="A291" s="18"/>
      <c r="B291" s="95"/>
      <c r="C291" s="95"/>
      <c r="D291" s="95"/>
      <c r="E291" s="95"/>
      <c r="F291" s="95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2">
      <c r="A292" s="18"/>
      <c r="B292" s="95"/>
      <c r="C292" s="95"/>
      <c r="D292" s="95"/>
      <c r="E292" s="95"/>
      <c r="F292" s="95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2">
      <c r="A293" s="18"/>
      <c r="B293" s="95"/>
      <c r="C293" s="95"/>
      <c r="D293" s="95"/>
      <c r="E293" s="95"/>
      <c r="F293" s="95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2">
      <c r="A294" s="18"/>
      <c r="B294" s="95"/>
      <c r="C294" s="95"/>
      <c r="D294" s="95"/>
      <c r="E294" s="95"/>
      <c r="F294" s="95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2">
      <c r="A295" s="18"/>
      <c r="B295" s="95"/>
      <c r="C295" s="95"/>
      <c r="D295" s="95"/>
      <c r="E295" s="95"/>
      <c r="F295" s="95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2">
      <c r="A296" s="18"/>
      <c r="B296" s="95"/>
      <c r="C296" s="95"/>
      <c r="D296" s="95"/>
      <c r="E296" s="95"/>
      <c r="F296" s="95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2">
      <c r="A297" s="18"/>
      <c r="B297" s="95"/>
      <c r="C297" s="95"/>
      <c r="D297" s="95"/>
      <c r="E297" s="95"/>
      <c r="F297" s="95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2">
      <c r="A298" s="18"/>
      <c r="B298" s="95"/>
      <c r="C298" s="95"/>
      <c r="D298" s="95"/>
      <c r="E298" s="95"/>
      <c r="F298" s="95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2">
      <c r="A299" s="18"/>
      <c r="B299" s="95"/>
      <c r="C299" s="95"/>
      <c r="D299" s="95"/>
      <c r="E299" s="95"/>
      <c r="F299" s="95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2">
      <c r="A300" s="18"/>
      <c r="B300" s="95"/>
      <c r="C300" s="95"/>
      <c r="D300" s="95"/>
      <c r="E300" s="95"/>
      <c r="F300" s="95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2">
      <c r="A301" s="18"/>
      <c r="B301" s="95"/>
      <c r="C301" s="95"/>
      <c r="D301" s="95"/>
      <c r="E301" s="95"/>
      <c r="F301" s="95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2">
      <c r="A302" s="18"/>
      <c r="B302" s="95"/>
      <c r="C302" s="95"/>
      <c r="D302" s="95"/>
      <c r="E302" s="95"/>
      <c r="F302" s="95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2">
      <c r="A303" s="18"/>
      <c r="B303" s="95"/>
      <c r="C303" s="95"/>
      <c r="D303" s="95"/>
      <c r="E303" s="95"/>
      <c r="F303" s="95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2">
      <c r="A304" s="18"/>
      <c r="B304" s="95"/>
      <c r="C304" s="95"/>
      <c r="D304" s="95"/>
      <c r="E304" s="95"/>
      <c r="F304" s="95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2">
      <c r="A305" s="18"/>
      <c r="B305" s="95"/>
      <c r="C305" s="95"/>
      <c r="D305" s="95"/>
      <c r="E305" s="95"/>
      <c r="F305" s="95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2">
      <c r="A306" s="18"/>
      <c r="B306" s="95"/>
      <c r="C306" s="95"/>
      <c r="D306" s="95"/>
      <c r="E306" s="95"/>
      <c r="F306" s="95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2">
      <c r="A307" s="18"/>
      <c r="B307" s="95"/>
      <c r="C307" s="95"/>
      <c r="D307" s="95"/>
      <c r="E307" s="95"/>
      <c r="F307" s="95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2">
      <c r="A308" s="18"/>
      <c r="B308" s="95"/>
      <c r="C308" s="95"/>
      <c r="D308" s="95"/>
      <c r="E308" s="95"/>
      <c r="F308" s="95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2">
      <c r="A309" s="18"/>
      <c r="B309" s="95"/>
      <c r="C309" s="95"/>
      <c r="D309" s="95"/>
      <c r="E309" s="95"/>
      <c r="F309" s="95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2">
      <c r="A310" s="18"/>
      <c r="B310" s="95"/>
      <c r="C310" s="95"/>
      <c r="D310" s="95"/>
      <c r="E310" s="95"/>
      <c r="F310" s="95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2">
      <c r="A311" s="18"/>
      <c r="B311" s="95"/>
      <c r="C311" s="95"/>
      <c r="D311" s="95"/>
      <c r="E311" s="95"/>
      <c r="F311" s="95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2">
      <c r="A312" s="18"/>
      <c r="B312" s="95"/>
      <c r="C312" s="95"/>
      <c r="D312" s="95"/>
      <c r="E312" s="95"/>
      <c r="F312" s="95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2">
      <c r="A313" s="18"/>
      <c r="B313" s="95"/>
      <c r="C313" s="95"/>
      <c r="D313" s="95"/>
      <c r="E313" s="95"/>
      <c r="F313" s="95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2">
      <c r="A314" s="18"/>
      <c r="B314" s="95"/>
      <c r="C314" s="95"/>
      <c r="D314" s="95"/>
      <c r="E314" s="95"/>
      <c r="F314" s="95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2">
      <c r="A315" s="18"/>
      <c r="B315" s="95"/>
      <c r="C315" s="95"/>
      <c r="D315" s="95"/>
      <c r="E315" s="95"/>
      <c r="F315" s="95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2">
      <c r="A316" s="18"/>
      <c r="B316" s="95"/>
      <c r="C316" s="95"/>
      <c r="D316" s="95"/>
      <c r="E316" s="95"/>
      <c r="F316" s="95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2">
      <c r="A317" s="18"/>
      <c r="B317" s="95"/>
      <c r="C317" s="95"/>
      <c r="D317" s="95"/>
      <c r="E317" s="95"/>
      <c r="F317" s="95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2">
      <c r="A318" s="18"/>
      <c r="B318" s="95"/>
      <c r="C318" s="95"/>
      <c r="D318" s="95"/>
      <c r="E318" s="95"/>
      <c r="F318" s="95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2">
      <c r="A319" s="18"/>
      <c r="B319" s="95"/>
      <c r="C319" s="95"/>
      <c r="D319" s="95"/>
      <c r="E319" s="95"/>
      <c r="F319" s="95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2">
      <c r="A320" s="18"/>
      <c r="B320" s="95"/>
      <c r="C320" s="95"/>
      <c r="D320" s="95"/>
      <c r="E320" s="95"/>
      <c r="F320" s="95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2">
      <c r="A321" s="18"/>
      <c r="B321" s="95"/>
      <c r="C321" s="95"/>
      <c r="D321" s="95"/>
      <c r="E321" s="95"/>
      <c r="F321" s="95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2">
      <c r="A322" s="18"/>
      <c r="B322" s="95"/>
      <c r="C322" s="95"/>
      <c r="D322" s="95"/>
      <c r="E322" s="95"/>
      <c r="F322" s="95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2">
      <c r="A323" s="18"/>
      <c r="B323" s="95"/>
      <c r="C323" s="95"/>
      <c r="D323" s="95"/>
      <c r="E323" s="95"/>
      <c r="F323" s="95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2">
      <c r="A324" s="18"/>
      <c r="B324" s="95"/>
      <c r="C324" s="95"/>
      <c r="D324" s="95"/>
      <c r="E324" s="95"/>
      <c r="F324" s="95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2">
      <c r="A325" s="18"/>
      <c r="B325" s="95"/>
      <c r="C325" s="95"/>
      <c r="D325" s="95"/>
      <c r="E325" s="95"/>
      <c r="F325" s="95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2">
      <c r="A326" s="18"/>
      <c r="B326" s="95"/>
      <c r="C326" s="95"/>
      <c r="D326" s="95"/>
      <c r="E326" s="95"/>
      <c r="F326" s="95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2">
      <c r="A327" s="18"/>
      <c r="B327" s="95"/>
      <c r="C327" s="95"/>
      <c r="D327" s="95"/>
      <c r="E327" s="95"/>
      <c r="F327" s="95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2">
      <c r="A328" s="18"/>
      <c r="B328" s="95"/>
      <c r="C328" s="95"/>
      <c r="D328" s="95"/>
      <c r="E328" s="95"/>
      <c r="F328" s="95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2">
      <c r="A329" s="18"/>
      <c r="B329" s="95"/>
      <c r="C329" s="95"/>
      <c r="D329" s="95"/>
      <c r="E329" s="95"/>
      <c r="F329" s="95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2">
      <c r="A330" s="18"/>
      <c r="B330" s="95"/>
      <c r="C330" s="95"/>
      <c r="D330" s="95"/>
      <c r="E330" s="95"/>
      <c r="F330" s="95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2">
      <c r="A331" s="18"/>
      <c r="B331" s="95"/>
      <c r="C331" s="95"/>
      <c r="D331" s="95"/>
      <c r="E331" s="95"/>
      <c r="F331" s="95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2">
      <c r="A332" s="18"/>
      <c r="B332" s="95"/>
      <c r="C332" s="95"/>
      <c r="D332" s="95"/>
      <c r="E332" s="95"/>
      <c r="F332" s="95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2">
      <c r="A333" s="18"/>
      <c r="B333" s="95"/>
      <c r="C333" s="95"/>
      <c r="D333" s="95"/>
      <c r="E333" s="95"/>
      <c r="F333" s="95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2">
      <c r="A334" s="18"/>
      <c r="B334" s="95"/>
      <c r="C334" s="95"/>
      <c r="D334" s="95"/>
      <c r="E334" s="95"/>
      <c r="F334" s="95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2">
      <c r="A335" s="18"/>
      <c r="B335" s="95"/>
      <c r="C335" s="95"/>
      <c r="D335" s="95"/>
      <c r="E335" s="95"/>
      <c r="F335" s="95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2">
      <c r="A336" s="18"/>
      <c r="B336" s="95"/>
      <c r="C336" s="95"/>
      <c r="D336" s="95"/>
      <c r="E336" s="95"/>
      <c r="F336" s="95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2">
      <c r="A337" s="18"/>
      <c r="B337" s="95"/>
      <c r="C337" s="95"/>
      <c r="D337" s="95"/>
      <c r="E337" s="95"/>
      <c r="F337" s="95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2">
      <c r="A338" s="18"/>
      <c r="B338" s="95"/>
      <c r="C338" s="95"/>
      <c r="D338" s="95"/>
      <c r="E338" s="95"/>
      <c r="F338" s="95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2">
      <c r="A339" s="18"/>
      <c r="B339" s="95"/>
      <c r="C339" s="95"/>
      <c r="D339" s="95"/>
      <c r="E339" s="95"/>
      <c r="F339" s="95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2">
      <c r="A340" s="18"/>
      <c r="B340" s="95"/>
      <c r="C340" s="95"/>
      <c r="D340" s="95"/>
      <c r="E340" s="95"/>
      <c r="F340" s="95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2">
      <c r="A341" s="18"/>
      <c r="B341" s="95"/>
      <c r="C341" s="95"/>
      <c r="D341" s="95"/>
      <c r="E341" s="95"/>
      <c r="F341" s="95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2">
      <c r="A342" s="18"/>
      <c r="B342" s="95"/>
      <c r="C342" s="95"/>
      <c r="D342" s="95"/>
      <c r="E342" s="95"/>
      <c r="F342" s="95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2">
      <c r="A343" s="18"/>
      <c r="B343" s="95"/>
      <c r="C343" s="95"/>
      <c r="D343" s="95"/>
      <c r="E343" s="95"/>
      <c r="F343" s="95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2">
      <c r="A344" s="18"/>
      <c r="B344" s="95"/>
      <c r="C344" s="95"/>
      <c r="D344" s="95"/>
      <c r="E344" s="95"/>
      <c r="F344" s="95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2">
      <c r="A345" s="18"/>
      <c r="B345" s="95"/>
      <c r="C345" s="95"/>
      <c r="D345" s="95"/>
      <c r="E345" s="95"/>
      <c r="F345" s="95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2">
      <c r="A346" s="18"/>
      <c r="B346" s="95"/>
      <c r="C346" s="95"/>
      <c r="D346" s="95"/>
      <c r="E346" s="95"/>
      <c r="F346" s="95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2">
      <c r="A347" s="18"/>
      <c r="B347" s="95"/>
      <c r="C347" s="95"/>
      <c r="D347" s="95"/>
      <c r="E347" s="95"/>
      <c r="F347" s="95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2">
      <c r="A348" s="18"/>
      <c r="B348" s="95"/>
      <c r="C348" s="95"/>
      <c r="D348" s="95"/>
      <c r="E348" s="95"/>
      <c r="F348" s="95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2">
      <c r="A349" s="18"/>
      <c r="B349" s="95"/>
      <c r="C349" s="95"/>
      <c r="D349" s="95"/>
      <c r="E349" s="95"/>
      <c r="F349" s="95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2">
      <c r="A350" s="18"/>
      <c r="B350" s="95"/>
      <c r="C350" s="95"/>
      <c r="D350" s="95"/>
      <c r="E350" s="95"/>
      <c r="F350" s="95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2">
      <c r="A351" s="18"/>
      <c r="B351" s="95"/>
      <c r="C351" s="95"/>
      <c r="D351" s="95"/>
      <c r="E351" s="95"/>
      <c r="F351" s="95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2">
      <c r="A352" s="18"/>
      <c r="B352" s="95"/>
      <c r="C352" s="95"/>
      <c r="D352" s="95"/>
      <c r="E352" s="95"/>
      <c r="F352" s="95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2">
      <c r="A353" s="18"/>
      <c r="B353" s="95"/>
      <c r="C353" s="95"/>
      <c r="D353" s="95"/>
      <c r="E353" s="95"/>
      <c r="F353" s="95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2">
      <c r="A354" s="18"/>
      <c r="B354" s="95"/>
      <c r="C354" s="95"/>
      <c r="D354" s="95"/>
      <c r="E354" s="95"/>
      <c r="F354" s="95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2">
      <c r="A355" s="18"/>
      <c r="B355" s="95"/>
      <c r="C355" s="95"/>
      <c r="D355" s="95"/>
      <c r="E355" s="95"/>
      <c r="F355" s="95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2">
      <c r="A356" s="18"/>
      <c r="B356" s="95"/>
      <c r="C356" s="95"/>
      <c r="D356" s="95"/>
      <c r="E356" s="95"/>
      <c r="F356" s="95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2">
      <c r="A357" s="18"/>
      <c r="B357" s="95"/>
      <c r="C357" s="95"/>
      <c r="D357" s="95"/>
      <c r="E357" s="95"/>
      <c r="F357" s="95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2">
      <c r="A358" s="18"/>
      <c r="B358" s="95"/>
      <c r="C358" s="95"/>
      <c r="D358" s="95"/>
      <c r="E358" s="95"/>
      <c r="F358" s="95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2">
      <c r="A359" s="18"/>
      <c r="B359" s="95"/>
      <c r="C359" s="95"/>
      <c r="D359" s="95"/>
      <c r="E359" s="95"/>
      <c r="F359" s="95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2">
      <c r="A360" s="18"/>
      <c r="B360" s="95"/>
      <c r="C360" s="95"/>
      <c r="D360" s="95"/>
      <c r="E360" s="95"/>
      <c r="F360" s="95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2">
      <c r="A361" s="18"/>
      <c r="B361" s="95"/>
      <c r="C361" s="95"/>
      <c r="D361" s="95"/>
      <c r="E361" s="95"/>
      <c r="F361" s="95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2">
      <c r="A362" s="18"/>
      <c r="B362" s="95"/>
      <c r="C362" s="95"/>
      <c r="D362" s="95"/>
      <c r="E362" s="95"/>
      <c r="F362" s="95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2">
      <c r="A363" s="18"/>
      <c r="B363" s="95"/>
      <c r="C363" s="95"/>
      <c r="D363" s="95"/>
      <c r="E363" s="95"/>
      <c r="F363" s="95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2">
      <c r="A364" s="18"/>
      <c r="B364" s="95"/>
      <c r="C364" s="95"/>
      <c r="D364" s="95"/>
      <c r="E364" s="95"/>
      <c r="F364" s="95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2">
      <c r="A365" s="18"/>
      <c r="B365" s="95"/>
      <c r="C365" s="95"/>
      <c r="D365" s="95"/>
      <c r="E365" s="95"/>
      <c r="F365" s="95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2">
      <c r="A366" s="18"/>
      <c r="B366" s="95"/>
      <c r="C366" s="95"/>
      <c r="D366" s="95"/>
      <c r="E366" s="95"/>
      <c r="F366" s="95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2">
      <c r="A367" s="18"/>
      <c r="B367" s="95"/>
      <c r="C367" s="95"/>
      <c r="D367" s="95"/>
      <c r="E367" s="95"/>
      <c r="F367" s="95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2">
      <c r="A368" s="18"/>
      <c r="B368" s="95"/>
      <c r="C368" s="95"/>
      <c r="D368" s="95"/>
      <c r="E368" s="95"/>
      <c r="F368" s="95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2">
      <c r="A369" s="18"/>
      <c r="B369" s="95"/>
      <c r="C369" s="95"/>
      <c r="D369" s="95"/>
      <c r="E369" s="95"/>
      <c r="F369" s="95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2">
      <c r="A370" s="18"/>
      <c r="B370" s="95"/>
      <c r="C370" s="95"/>
      <c r="D370" s="95"/>
      <c r="E370" s="95"/>
      <c r="F370" s="95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2">
      <c r="A371" s="18"/>
      <c r="B371" s="95"/>
      <c r="C371" s="95"/>
      <c r="D371" s="95"/>
      <c r="E371" s="95"/>
      <c r="F371" s="95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2">
      <c r="A372" s="18"/>
      <c r="B372" s="95"/>
      <c r="C372" s="95"/>
      <c r="D372" s="95"/>
      <c r="E372" s="95"/>
      <c r="F372" s="95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2">
      <c r="A373" s="18"/>
      <c r="B373" s="95"/>
      <c r="C373" s="95"/>
      <c r="D373" s="95"/>
      <c r="E373" s="95"/>
      <c r="F373" s="95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2">
      <c r="A374" s="18"/>
      <c r="B374" s="95"/>
      <c r="C374" s="95"/>
      <c r="D374" s="95"/>
      <c r="E374" s="95"/>
      <c r="F374" s="95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2">
      <c r="A375" s="18"/>
      <c r="B375" s="95"/>
      <c r="C375" s="95"/>
      <c r="D375" s="95"/>
      <c r="E375" s="95"/>
      <c r="F375" s="95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2">
      <c r="A376" s="18"/>
      <c r="B376" s="95"/>
      <c r="C376" s="95"/>
      <c r="D376" s="95"/>
      <c r="E376" s="95"/>
      <c r="F376" s="95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2">
      <c r="A377" s="18"/>
      <c r="B377" s="95"/>
      <c r="C377" s="95"/>
      <c r="D377" s="95"/>
      <c r="E377" s="95"/>
      <c r="F377" s="95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2">
      <c r="A378" s="18"/>
      <c r="B378" s="95"/>
      <c r="C378" s="95"/>
      <c r="D378" s="95"/>
      <c r="E378" s="95"/>
      <c r="F378" s="95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2">
      <c r="A379" s="18"/>
      <c r="B379" s="95"/>
      <c r="C379" s="95"/>
      <c r="D379" s="95"/>
      <c r="E379" s="95"/>
      <c r="F379" s="95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2">
      <c r="A380" s="18"/>
      <c r="B380" s="95"/>
      <c r="C380" s="95"/>
      <c r="D380" s="95"/>
      <c r="E380" s="95"/>
      <c r="F380" s="95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2">
      <c r="A381" s="18"/>
      <c r="B381" s="95"/>
      <c r="C381" s="95"/>
      <c r="D381" s="95"/>
      <c r="E381" s="95"/>
      <c r="F381" s="95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2">
      <c r="A382" s="18"/>
      <c r="B382" s="95"/>
      <c r="C382" s="95"/>
      <c r="D382" s="95"/>
      <c r="E382" s="95"/>
      <c r="F382" s="95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2">
      <c r="A383" s="18"/>
      <c r="B383" s="95"/>
      <c r="C383" s="95"/>
      <c r="D383" s="95"/>
      <c r="E383" s="95"/>
      <c r="F383" s="95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2">
      <c r="A384" s="18"/>
      <c r="B384" s="95"/>
      <c r="C384" s="95"/>
      <c r="D384" s="95"/>
      <c r="E384" s="95"/>
      <c r="F384" s="95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2">
      <c r="A385" s="18"/>
      <c r="B385" s="95"/>
      <c r="C385" s="95"/>
      <c r="D385" s="95"/>
      <c r="E385" s="95"/>
      <c r="F385" s="95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2">
      <c r="A386" s="18"/>
      <c r="B386" s="95"/>
      <c r="C386" s="95"/>
      <c r="D386" s="95"/>
      <c r="E386" s="95"/>
      <c r="F386" s="95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2">
      <c r="A387" s="18"/>
      <c r="B387" s="95"/>
      <c r="C387" s="95"/>
      <c r="D387" s="95"/>
      <c r="E387" s="95"/>
      <c r="F387" s="95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2">
      <c r="A388" s="18"/>
      <c r="B388" s="95"/>
      <c r="C388" s="95"/>
      <c r="D388" s="95"/>
      <c r="E388" s="95"/>
      <c r="F388" s="95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2">
      <c r="A389" s="18"/>
      <c r="B389" s="95"/>
      <c r="C389" s="95"/>
      <c r="D389" s="95"/>
      <c r="E389" s="95"/>
      <c r="F389" s="95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2">
      <c r="A390" s="18"/>
      <c r="B390" s="95"/>
      <c r="C390" s="95"/>
      <c r="D390" s="95"/>
      <c r="E390" s="95"/>
      <c r="F390" s="95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2">
      <c r="A391" s="18"/>
      <c r="B391" s="95"/>
      <c r="C391" s="95"/>
      <c r="D391" s="95"/>
      <c r="E391" s="95"/>
      <c r="F391" s="95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2">
      <c r="A392" s="18"/>
      <c r="B392" s="95"/>
      <c r="C392" s="95"/>
      <c r="D392" s="95"/>
      <c r="E392" s="95"/>
      <c r="F392" s="95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2">
      <c r="A393" s="18"/>
      <c r="B393" s="95"/>
      <c r="C393" s="95"/>
      <c r="D393" s="95"/>
      <c r="E393" s="95"/>
      <c r="F393" s="95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2">
      <c r="A394" s="18"/>
      <c r="B394" s="95"/>
      <c r="C394" s="95"/>
      <c r="D394" s="95"/>
      <c r="E394" s="95"/>
      <c r="F394" s="95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2">
      <c r="A395" s="18"/>
      <c r="B395" s="95"/>
      <c r="C395" s="95"/>
      <c r="D395" s="95"/>
      <c r="E395" s="95"/>
      <c r="F395" s="95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2">
      <c r="A396" s="18"/>
      <c r="B396" s="95"/>
      <c r="C396" s="95"/>
      <c r="D396" s="95"/>
      <c r="E396" s="95"/>
      <c r="F396" s="95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2">
      <c r="A397" s="18"/>
      <c r="B397" s="95"/>
      <c r="C397" s="95"/>
      <c r="D397" s="95"/>
      <c r="E397" s="95"/>
      <c r="F397" s="95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2">
      <c r="A398" s="18"/>
      <c r="B398" s="95"/>
      <c r="C398" s="95"/>
      <c r="D398" s="95"/>
      <c r="E398" s="95"/>
      <c r="F398" s="95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2">
      <c r="A399" s="18"/>
      <c r="B399" s="95"/>
      <c r="C399" s="95"/>
      <c r="D399" s="95"/>
      <c r="E399" s="95"/>
      <c r="F399" s="95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2">
      <c r="A400" s="18"/>
      <c r="B400" s="95"/>
      <c r="C400" s="95"/>
      <c r="D400" s="95"/>
      <c r="E400" s="95"/>
      <c r="F400" s="95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2">
      <c r="A401" s="18"/>
      <c r="B401" s="95"/>
      <c r="C401" s="95"/>
      <c r="D401" s="95"/>
      <c r="E401" s="95"/>
      <c r="F401" s="95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2">
      <c r="A402" s="18"/>
      <c r="B402" s="95"/>
      <c r="C402" s="95"/>
      <c r="D402" s="95"/>
      <c r="E402" s="95"/>
      <c r="F402" s="95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2">
      <c r="A403" s="18"/>
      <c r="B403" s="95"/>
      <c r="C403" s="95"/>
      <c r="D403" s="95"/>
      <c r="E403" s="95"/>
      <c r="F403" s="95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2">
      <c r="A404" s="18"/>
      <c r="B404" s="95"/>
      <c r="C404" s="95"/>
      <c r="D404" s="95"/>
      <c r="E404" s="95"/>
      <c r="F404" s="95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2">
      <c r="A405" s="18"/>
      <c r="B405" s="95"/>
      <c r="C405" s="95"/>
      <c r="D405" s="95"/>
      <c r="E405" s="95"/>
      <c r="F405" s="95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2">
      <c r="A406" s="18"/>
      <c r="B406" s="95"/>
      <c r="C406" s="95"/>
      <c r="D406" s="95"/>
      <c r="E406" s="95"/>
      <c r="F406" s="95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2">
      <c r="A407" s="18"/>
      <c r="B407" s="95"/>
      <c r="C407" s="95"/>
      <c r="D407" s="95"/>
      <c r="E407" s="95"/>
      <c r="F407" s="95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2">
      <c r="A408" s="18"/>
      <c r="B408" s="95"/>
      <c r="C408" s="95"/>
      <c r="D408" s="95"/>
      <c r="E408" s="95"/>
      <c r="F408" s="95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2">
      <c r="A409" s="18"/>
      <c r="B409" s="95"/>
      <c r="C409" s="95"/>
      <c r="D409" s="95"/>
      <c r="E409" s="95"/>
      <c r="F409" s="95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2">
      <c r="A410" s="18"/>
      <c r="B410" s="95"/>
      <c r="C410" s="95"/>
      <c r="D410" s="95"/>
      <c r="E410" s="95"/>
      <c r="F410" s="95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2">
      <c r="A411" s="18"/>
      <c r="B411" s="95"/>
      <c r="C411" s="95"/>
      <c r="D411" s="95"/>
      <c r="E411" s="95"/>
      <c r="F411" s="95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2">
      <c r="A412" s="18"/>
      <c r="B412" s="95"/>
      <c r="C412" s="95"/>
      <c r="D412" s="95"/>
      <c r="E412" s="95"/>
      <c r="F412" s="95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2">
      <c r="A413" s="18"/>
      <c r="B413" s="95"/>
      <c r="C413" s="95"/>
      <c r="D413" s="95"/>
      <c r="E413" s="95"/>
      <c r="F413" s="95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2">
      <c r="A414" s="18"/>
      <c r="B414" s="95"/>
      <c r="C414" s="95"/>
      <c r="D414" s="95"/>
      <c r="E414" s="95"/>
      <c r="F414" s="95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2">
      <c r="A415" s="18"/>
      <c r="B415" s="95"/>
      <c r="C415" s="95"/>
      <c r="D415" s="95"/>
      <c r="E415" s="95"/>
      <c r="F415" s="95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2">
      <c r="A416" s="18"/>
      <c r="B416" s="95"/>
      <c r="C416" s="95"/>
      <c r="D416" s="95"/>
      <c r="E416" s="95"/>
      <c r="F416" s="95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2">
      <c r="A417" s="18"/>
      <c r="B417" s="95"/>
      <c r="C417" s="95"/>
      <c r="D417" s="95"/>
      <c r="E417" s="95"/>
      <c r="F417" s="95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2">
      <c r="A418" s="18"/>
      <c r="B418" s="95"/>
      <c r="C418" s="95"/>
      <c r="D418" s="95"/>
      <c r="E418" s="95"/>
      <c r="F418" s="95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2">
      <c r="A419" s="18"/>
      <c r="B419" s="95"/>
      <c r="C419" s="95"/>
      <c r="D419" s="95"/>
      <c r="E419" s="95"/>
      <c r="F419" s="95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2">
      <c r="A420" s="18"/>
      <c r="B420" s="95"/>
      <c r="C420" s="95"/>
      <c r="D420" s="95"/>
      <c r="E420" s="95"/>
      <c r="F420" s="95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2">
      <c r="A421" s="18"/>
      <c r="B421" s="95"/>
      <c r="C421" s="95"/>
      <c r="D421" s="95"/>
      <c r="E421" s="95"/>
      <c r="F421" s="95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2">
      <c r="A422" s="18"/>
      <c r="B422" s="95"/>
      <c r="C422" s="95"/>
      <c r="D422" s="95"/>
      <c r="E422" s="95"/>
      <c r="F422" s="95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2">
      <c r="A423" s="18"/>
      <c r="B423" s="95"/>
      <c r="C423" s="95"/>
      <c r="D423" s="95"/>
      <c r="E423" s="95"/>
      <c r="F423" s="95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2">
      <c r="A424" s="18"/>
      <c r="B424" s="95"/>
      <c r="C424" s="95"/>
      <c r="D424" s="95"/>
      <c r="E424" s="95"/>
      <c r="F424" s="95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2">
      <c r="A425" s="18"/>
      <c r="B425" s="95"/>
      <c r="C425" s="95"/>
      <c r="D425" s="95"/>
      <c r="E425" s="95"/>
      <c r="F425" s="95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2">
      <c r="A426" s="18"/>
      <c r="B426" s="95"/>
      <c r="C426" s="95"/>
      <c r="D426" s="95"/>
      <c r="E426" s="95"/>
      <c r="F426" s="95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2">
      <c r="A427" s="18"/>
      <c r="B427" s="95"/>
      <c r="C427" s="95"/>
      <c r="D427" s="95"/>
      <c r="E427" s="95"/>
      <c r="F427" s="95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2">
      <c r="A428" s="18"/>
      <c r="B428" s="95"/>
      <c r="C428" s="95"/>
      <c r="D428" s="95"/>
      <c r="E428" s="95"/>
      <c r="F428" s="95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2">
      <c r="A429" s="18"/>
      <c r="B429" s="95"/>
      <c r="C429" s="95"/>
      <c r="D429" s="95"/>
      <c r="E429" s="95"/>
      <c r="F429" s="95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2">
      <c r="A430" s="18"/>
      <c r="B430" s="95"/>
      <c r="C430" s="95"/>
      <c r="D430" s="95"/>
      <c r="E430" s="95"/>
      <c r="F430" s="95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2">
      <c r="A431" s="18"/>
      <c r="B431" s="95"/>
      <c r="C431" s="95"/>
      <c r="D431" s="95"/>
      <c r="E431" s="95"/>
      <c r="F431" s="95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2">
      <c r="A432" s="18"/>
      <c r="B432" s="95"/>
      <c r="C432" s="95"/>
      <c r="D432" s="95"/>
      <c r="E432" s="95"/>
      <c r="F432" s="95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2">
      <c r="A433" s="18"/>
      <c r="B433" s="95"/>
      <c r="C433" s="95"/>
      <c r="D433" s="95"/>
      <c r="E433" s="95"/>
      <c r="F433" s="95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2">
      <c r="A434" s="18"/>
      <c r="B434" s="95"/>
      <c r="C434" s="95"/>
      <c r="D434" s="95"/>
      <c r="E434" s="95"/>
      <c r="F434" s="95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2">
      <c r="A435" s="18"/>
      <c r="B435" s="95"/>
      <c r="C435" s="95"/>
      <c r="D435" s="95"/>
      <c r="E435" s="95"/>
      <c r="F435" s="95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2">
      <c r="A436" s="18"/>
      <c r="B436" s="95"/>
      <c r="C436" s="95"/>
      <c r="D436" s="95"/>
      <c r="E436" s="95"/>
      <c r="F436" s="95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2">
      <c r="A437" s="18"/>
      <c r="B437" s="95"/>
      <c r="C437" s="95"/>
      <c r="D437" s="95"/>
      <c r="E437" s="95"/>
      <c r="F437" s="95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2">
      <c r="A438" s="18"/>
      <c r="B438" s="95"/>
      <c r="C438" s="95"/>
      <c r="D438" s="95"/>
      <c r="E438" s="95"/>
      <c r="F438" s="95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2">
      <c r="A439" s="18"/>
      <c r="B439" s="95"/>
      <c r="C439" s="95"/>
      <c r="D439" s="95"/>
      <c r="E439" s="95"/>
      <c r="F439" s="95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2">
      <c r="A440" s="18"/>
      <c r="B440" s="95"/>
      <c r="C440" s="95"/>
      <c r="D440" s="95"/>
      <c r="E440" s="95"/>
      <c r="F440" s="95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2">
      <c r="A441" s="18"/>
      <c r="B441" s="95"/>
      <c r="C441" s="95"/>
      <c r="D441" s="95"/>
      <c r="E441" s="95"/>
      <c r="F441" s="95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2">
      <c r="A442" s="18"/>
      <c r="B442" s="95"/>
      <c r="C442" s="95"/>
      <c r="D442" s="95"/>
      <c r="E442" s="95"/>
      <c r="F442" s="95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2">
      <c r="A443" s="18"/>
      <c r="B443" s="95"/>
      <c r="C443" s="95"/>
      <c r="D443" s="95"/>
      <c r="E443" s="95"/>
      <c r="F443" s="95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2">
      <c r="A444" s="18"/>
      <c r="B444" s="95"/>
      <c r="C444" s="95"/>
      <c r="D444" s="95"/>
      <c r="E444" s="95"/>
      <c r="F444" s="95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2">
      <c r="A445" s="18"/>
      <c r="B445" s="95"/>
      <c r="C445" s="95"/>
      <c r="D445" s="95"/>
      <c r="E445" s="95"/>
      <c r="F445" s="95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2">
      <c r="A446" s="18"/>
      <c r="B446" s="95"/>
      <c r="C446" s="95"/>
      <c r="D446" s="95"/>
      <c r="E446" s="95"/>
      <c r="F446" s="95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2">
      <c r="A447" s="18"/>
      <c r="B447" s="95"/>
      <c r="C447" s="95"/>
      <c r="D447" s="95"/>
      <c r="E447" s="95"/>
      <c r="F447" s="95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2">
      <c r="A448" s="18"/>
      <c r="B448" s="95"/>
      <c r="C448" s="95"/>
      <c r="D448" s="95"/>
      <c r="E448" s="95"/>
      <c r="F448" s="95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2">
      <c r="A449" s="18"/>
      <c r="B449" s="95"/>
      <c r="C449" s="95"/>
      <c r="D449" s="95"/>
      <c r="E449" s="95"/>
      <c r="F449" s="95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2">
      <c r="A450" s="18"/>
      <c r="B450" s="95"/>
      <c r="C450" s="95"/>
      <c r="D450" s="95"/>
      <c r="E450" s="95"/>
      <c r="F450" s="95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2">
      <c r="A451" s="18"/>
      <c r="B451" s="95"/>
      <c r="C451" s="95"/>
      <c r="D451" s="95"/>
      <c r="E451" s="95"/>
      <c r="F451" s="95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2">
      <c r="A452" s="18"/>
      <c r="B452" s="95"/>
      <c r="C452" s="95"/>
      <c r="D452" s="95"/>
      <c r="E452" s="95"/>
      <c r="F452" s="95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2">
      <c r="A453" s="18"/>
      <c r="B453" s="95"/>
      <c r="C453" s="95"/>
      <c r="D453" s="95"/>
      <c r="E453" s="95"/>
      <c r="F453" s="95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2">
      <c r="A454" s="18"/>
      <c r="B454" s="95"/>
      <c r="C454" s="95"/>
      <c r="D454" s="95"/>
      <c r="E454" s="95"/>
      <c r="F454" s="95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2">
      <c r="A455" s="18"/>
      <c r="B455" s="95"/>
      <c r="C455" s="95"/>
      <c r="D455" s="95"/>
      <c r="E455" s="95"/>
      <c r="F455" s="95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2">
      <c r="A456" s="18"/>
      <c r="B456" s="95"/>
      <c r="C456" s="95"/>
      <c r="D456" s="95"/>
      <c r="E456" s="95"/>
      <c r="F456" s="95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2">
      <c r="A457" s="18"/>
      <c r="B457" s="95"/>
      <c r="C457" s="95"/>
      <c r="D457" s="95"/>
      <c r="E457" s="95"/>
      <c r="F457" s="95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2">
      <c r="A458" s="18"/>
      <c r="B458" s="95"/>
      <c r="C458" s="95"/>
      <c r="D458" s="95"/>
      <c r="E458" s="95"/>
      <c r="F458" s="95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2">
      <c r="A459" s="18"/>
      <c r="B459" s="95"/>
      <c r="C459" s="95"/>
      <c r="D459" s="95"/>
      <c r="E459" s="95"/>
      <c r="F459" s="95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2">
      <c r="A460" s="18"/>
      <c r="B460" s="95"/>
      <c r="C460" s="95"/>
      <c r="D460" s="95"/>
      <c r="E460" s="95"/>
      <c r="F460" s="95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2">
      <c r="A461" s="18"/>
      <c r="B461" s="95"/>
      <c r="C461" s="95"/>
      <c r="D461" s="95"/>
      <c r="E461" s="95"/>
      <c r="F461" s="95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2">
      <c r="A462" s="18"/>
      <c r="B462" s="95"/>
      <c r="C462" s="95"/>
      <c r="D462" s="95"/>
      <c r="E462" s="95"/>
      <c r="F462" s="95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2">
      <c r="A463" s="18"/>
      <c r="B463" s="95"/>
      <c r="C463" s="95"/>
      <c r="D463" s="95"/>
      <c r="E463" s="95"/>
      <c r="F463" s="95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2">
      <c r="A464" s="18"/>
      <c r="B464" s="95"/>
      <c r="C464" s="95"/>
      <c r="D464" s="95"/>
      <c r="E464" s="95"/>
      <c r="F464" s="95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2">
      <c r="A465" s="18"/>
      <c r="B465" s="95"/>
      <c r="C465" s="95"/>
      <c r="D465" s="95"/>
      <c r="E465" s="95"/>
      <c r="F465" s="95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2">
      <c r="A466" s="18"/>
      <c r="B466" s="95"/>
      <c r="C466" s="95"/>
      <c r="D466" s="95"/>
      <c r="E466" s="95"/>
      <c r="F466" s="95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2">
      <c r="A467" s="18"/>
      <c r="B467" s="95"/>
      <c r="C467" s="95"/>
      <c r="D467" s="95"/>
      <c r="E467" s="95"/>
      <c r="F467" s="95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2">
      <c r="A468" s="18"/>
      <c r="B468" s="95"/>
      <c r="C468" s="95"/>
      <c r="D468" s="95"/>
      <c r="E468" s="95"/>
      <c r="F468" s="95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2">
      <c r="A469" s="18"/>
      <c r="B469" s="95"/>
      <c r="C469" s="95"/>
      <c r="D469" s="95"/>
      <c r="E469" s="95"/>
      <c r="F469" s="95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2">
      <c r="A470" s="18"/>
      <c r="B470" s="95"/>
      <c r="C470" s="95"/>
      <c r="D470" s="95"/>
      <c r="E470" s="95"/>
      <c r="F470" s="95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2">
      <c r="A471" s="18"/>
      <c r="B471" s="95"/>
      <c r="C471" s="95"/>
      <c r="D471" s="95"/>
      <c r="E471" s="95"/>
      <c r="F471" s="95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2">
      <c r="A472" s="18"/>
      <c r="B472" s="95"/>
      <c r="C472" s="95"/>
      <c r="D472" s="95"/>
      <c r="E472" s="95"/>
      <c r="F472" s="95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2">
      <c r="A473" s="18"/>
      <c r="B473" s="95"/>
      <c r="C473" s="95"/>
      <c r="D473" s="95"/>
      <c r="E473" s="95"/>
      <c r="F473" s="95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2">
      <c r="A474" s="18"/>
      <c r="B474" s="95"/>
      <c r="C474" s="95"/>
      <c r="D474" s="95"/>
      <c r="E474" s="95"/>
      <c r="F474" s="95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2">
      <c r="A475" s="18"/>
      <c r="B475" s="95"/>
      <c r="C475" s="95"/>
      <c r="D475" s="95"/>
      <c r="E475" s="95"/>
      <c r="F475" s="95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2">
      <c r="A476" s="18"/>
      <c r="B476" s="95"/>
      <c r="C476" s="95"/>
      <c r="D476" s="95"/>
      <c r="E476" s="95"/>
      <c r="F476" s="95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2">
      <c r="A477" s="18"/>
      <c r="B477" s="95"/>
      <c r="C477" s="95"/>
      <c r="D477" s="95"/>
      <c r="E477" s="95"/>
      <c r="F477" s="95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2">
      <c r="A478" s="18"/>
      <c r="B478" s="95"/>
      <c r="C478" s="95"/>
      <c r="D478" s="95"/>
      <c r="E478" s="95"/>
      <c r="F478" s="95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2">
      <c r="A479" s="18"/>
      <c r="B479" s="95"/>
      <c r="C479" s="95"/>
      <c r="D479" s="95"/>
      <c r="E479" s="95"/>
      <c r="F479" s="95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2">
      <c r="A480" s="18"/>
      <c r="B480" s="95"/>
      <c r="C480" s="95"/>
      <c r="D480" s="95"/>
      <c r="E480" s="95"/>
      <c r="F480" s="95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2">
      <c r="A481" s="18"/>
      <c r="B481" s="95"/>
      <c r="C481" s="95"/>
      <c r="D481" s="95"/>
      <c r="E481" s="95"/>
      <c r="F481" s="95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2">
      <c r="A482" s="18"/>
      <c r="B482" s="95"/>
      <c r="C482" s="95"/>
      <c r="D482" s="95"/>
      <c r="E482" s="95"/>
      <c r="F482" s="95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2">
      <c r="A483" s="18"/>
      <c r="B483" s="95"/>
      <c r="C483" s="95"/>
      <c r="D483" s="95"/>
      <c r="E483" s="95"/>
      <c r="F483" s="95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2">
      <c r="A484" s="18"/>
      <c r="B484" s="95"/>
      <c r="C484" s="95"/>
      <c r="D484" s="95"/>
      <c r="E484" s="95"/>
      <c r="F484" s="95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2">
      <c r="A485" s="18"/>
      <c r="B485" s="95"/>
      <c r="C485" s="95"/>
      <c r="D485" s="95"/>
      <c r="E485" s="95"/>
      <c r="F485" s="95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2">
      <c r="A486" s="18"/>
      <c r="B486" s="95"/>
      <c r="C486" s="95"/>
      <c r="D486" s="95"/>
      <c r="E486" s="95"/>
      <c r="F486" s="95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2">
      <c r="A487" s="18"/>
      <c r="B487" s="95"/>
      <c r="C487" s="95"/>
      <c r="D487" s="95"/>
      <c r="E487" s="95"/>
      <c r="F487" s="95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2">
      <c r="A488" s="18"/>
      <c r="B488" s="95"/>
      <c r="C488" s="95"/>
      <c r="D488" s="95"/>
      <c r="E488" s="95"/>
      <c r="F488" s="95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2">
      <c r="A489" s="18"/>
      <c r="B489" s="95"/>
      <c r="C489" s="95"/>
      <c r="D489" s="95"/>
      <c r="E489" s="95"/>
      <c r="F489" s="95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2">
      <c r="A490" s="18"/>
      <c r="B490" s="95"/>
      <c r="C490" s="95"/>
      <c r="D490" s="95"/>
      <c r="E490" s="95"/>
      <c r="F490" s="95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2">
      <c r="A491" s="18"/>
      <c r="B491" s="95"/>
      <c r="C491" s="95"/>
      <c r="D491" s="95"/>
      <c r="E491" s="95"/>
      <c r="F491" s="95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2">
      <c r="A492" s="18"/>
      <c r="B492" s="95"/>
      <c r="C492" s="95"/>
      <c r="D492" s="95"/>
      <c r="E492" s="95"/>
      <c r="F492" s="95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2">
      <c r="A493" s="18"/>
      <c r="B493" s="95"/>
      <c r="C493" s="95"/>
      <c r="D493" s="95"/>
      <c r="E493" s="95"/>
      <c r="F493" s="95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2">
      <c r="A494" s="18"/>
      <c r="B494" s="95"/>
      <c r="C494" s="95"/>
      <c r="D494" s="95"/>
      <c r="E494" s="95"/>
      <c r="F494" s="95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2">
      <c r="A495" s="18"/>
      <c r="B495" s="95"/>
      <c r="C495" s="95"/>
      <c r="D495" s="95"/>
      <c r="E495" s="95"/>
      <c r="F495" s="95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2">
      <c r="A496" s="18"/>
      <c r="B496" s="95"/>
      <c r="C496" s="95"/>
      <c r="D496" s="95"/>
      <c r="E496" s="95"/>
      <c r="F496" s="95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2">
      <c r="A497" s="18"/>
      <c r="B497" s="95"/>
      <c r="C497" s="95"/>
      <c r="D497" s="95"/>
      <c r="E497" s="95"/>
      <c r="F497" s="95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2">
      <c r="A498" s="18"/>
      <c r="B498" s="95"/>
      <c r="C498" s="95"/>
      <c r="D498" s="95"/>
      <c r="E498" s="95"/>
      <c r="F498" s="95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2">
      <c r="A499" s="18"/>
      <c r="B499" s="95"/>
      <c r="C499" s="95"/>
      <c r="D499" s="95"/>
      <c r="E499" s="95"/>
      <c r="F499" s="95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2">
      <c r="A500" s="18"/>
      <c r="B500" s="95"/>
      <c r="C500" s="95"/>
      <c r="D500" s="95"/>
      <c r="E500" s="95"/>
      <c r="F500" s="95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2">
      <c r="A501" s="18"/>
      <c r="B501" s="95"/>
      <c r="C501" s="95"/>
      <c r="D501" s="95"/>
      <c r="E501" s="95"/>
      <c r="F501" s="95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2">
      <c r="A502" s="18"/>
      <c r="B502" s="95"/>
      <c r="C502" s="95"/>
      <c r="D502" s="95"/>
      <c r="E502" s="95"/>
      <c r="F502" s="95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2">
      <c r="A503" s="18"/>
      <c r="B503" s="95"/>
      <c r="C503" s="95"/>
      <c r="D503" s="95"/>
      <c r="E503" s="95"/>
      <c r="F503" s="95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2">
      <c r="A504" s="18"/>
      <c r="B504" s="95"/>
      <c r="C504" s="95"/>
      <c r="D504" s="95"/>
      <c r="E504" s="95"/>
      <c r="F504" s="95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2">
      <c r="A505" s="18"/>
      <c r="B505" s="95"/>
      <c r="C505" s="95"/>
      <c r="D505" s="95"/>
      <c r="E505" s="95"/>
      <c r="F505" s="95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2">
      <c r="A506" s="18"/>
      <c r="B506" s="95"/>
      <c r="C506" s="95"/>
      <c r="D506" s="95"/>
      <c r="E506" s="95"/>
      <c r="F506" s="95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2">
      <c r="A507" s="18"/>
      <c r="B507" s="95"/>
      <c r="C507" s="95"/>
      <c r="D507" s="95"/>
      <c r="E507" s="95"/>
      <c r="F507" s="95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2">
      <c r="A508" s="18"/>
      <c r="B508" s="95"/>
      <c r="C508" s="95"/>
      <c r="D508" s="95"/>
      <c r="E508" s="95"/>
      <c r="F508" s="95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2">
      <c r="A509" s="18"/>
      <c r="B509" s="95"/>
      <c r="C509" s="95"/>
      <c r="D509" s="95"/>
      <c r="E509" s="95"/>
      <c r="F509" s="95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2">
      <c r="A510" s="18"/>
      <c r="B510" s="95"/>
      <c r="C510" s="95"/>
      <c r="D510" s="95"/>
      <c r="E510" s="95"/>
      <c r="F510" s="95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2">
      <c r="A511" s="18"/>
      <c r="B511" s="95"/>
      <c r="C511" s="95"/>
      <c r="D511" s="95"/>
      <c r="E511" s="95"/>
      <c r="F511" s="95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2">
      <c r="A512" s="18"/>
      <c r="B512" s="95"/>
      <c r="C512" s="95"/>
      <c r="D512" s="95"/>
      <c r="E512" s="95"/>
      <c r="F512" s="95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2">
      <c r="A513" s="18"/>
      <c r="B513" s="95"/>
      <c r="C513" s="95"/>
      <c r="D513" s="95"/>
      <c r="E513" s="95"/>
      <c r="F513" s="95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2">
      <c r="A514" s="18"/>
      <c r="B514" s="95"/>
      <c r="C514" s="95"/>
      <c r="D514" s="95"/>
      <c r="E514" s="95"/>
      <c r="F514" s="95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2">
      <c r="A515" s="18"/>
      <c r="B515" s="95"/>
      <c r="C515" s="95"/>
      <c r="D515" s="95"/>
      <c r="E515" s="95"/>
      <c r="F515" s="95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2">
      <c r="A516" s="18"/>
      <c r="B516" s="95"/>
      <c r="C516" s="95"/>
      <c r="D516" s="95"/>
      <c r="E516" s="95"/>
      <c r="F516" s="95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2">
      <c r="A517" s="18"/>
      <c r="B517" s="95"/>
      <c r="C517" s="95"/>
      <c r="D517" s="95"/>
      <c r="E517" s="95"/>
      <c r="F517" s="95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2">
      <c r="A518" s="18"/>
      <c r="B518" s="95"/>
      <c r="C518" s="95"/>
      <c r="D518" s="95"/>
      <c r="E518" s="95"/>
      <c r="F518" s="95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2">
      <c r="A519" s="18"/>
      <c r="B519" s="95"/>
      <c r="C519" s="95"/>
      <c r="D519" s="95"/>
      <c r="E519" s="95"/>
      <c r="F519" s="95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2">
      <c r="A520" s="18"/>
      <c r="B520" s="95"/>
      <c r="C520" s="95"/>
      <c r="D520" s="95"/>
      <c r="E520" s="95"/>
      <c r="F520" s="95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2">
      <c r="A521" s="18"/>
      <c r="B521" s="95"/>
      <c r="C521" s="95"/>
      <c r="D521" s="95"/>
      <c r="E521" s="95"/>
      <c r="F521" s="95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2">
      <c r="A522" s="18"/>
      <c r="B522" s="95"/>
      <c r="C522" s="95"/>
      <c r="D522" s="95"/>
      <c r="E522" s="95"/>
      <c r="F522" s="95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2">
      <c r="A523" s="18"/>
      <c r="B523" s="95"/>
      <c r="C523" s="95"/>
      <c r="D523" s="95"/>
      <c r="E523" s="95"/>
      <c r="F523" s="95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2">
      <c r="A524" s="18"/>
      <c r="B524" s="95"/>
      <c r="C524" s="95"/>
      <c r="D524" s="95"/>
      <c r="E524" s="95"/>
      <c r="F524" s="95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2">
      <c r="A525" s="18"/>
      <c r="B525" s="95"/>
      <c r="C525" s="95"/>
      <c r="D525" s="95"/>
      <c r="E525" s="95"/>
      <c r="F525" s="95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2">
      <c r="A526" s="18"/>
      <c r="B526" s="95"/>
      <c r="C526" s="95"/>
      <c r="D526" s="95"/>
      <c r="E526" s="95"/>
      <c r="F526" s="95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2">
      <c r="A527" s="18"/>
      <c r="B527" s="95"/>
      <c r="C527" s="95"/>
      <c r="D527" s="95"/>
      <c r="E527" s="95"/>
      <c r="F527" s="95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2">
      <c r="A528" s="18"/>
      <c r="B528" s="95"/>
      <c r="C528" s="95"/>
      <c r="D528" s="95"/>
      <c r="E528" s="95"/>
      <c r="F528" s="95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2">
      <c r="A529" s="18"/>
      <c r="B529" s="95"/>
      <c r="C529" s="95"/>
      <c r="D529" s="95"/>
      <c r="E529" s="95"/>
      <c r="F529" s="95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2">
      <c r="A530" s="18"/>
      <c r="B530" s="95"/>
      <c r="C530" s="95"/>
      <c r="D530" s="95"/>
      <c r="E530" s="95"/>
      <c r="F530" s="95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2">
      <c r="A531" s="18"/>
      <c r="B531" s="95"/>
      <c r="C531" s="95"/>
      <c r="D531" s="95"/>
      <c r="E531" s="95"/>
      <c r="F531" s="95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2">
      <c r="A532" s="18"/>
      <c r="B532" s="95"/>
      <c r="C532" s="95"/>
      <c r="D532" s="95"/>
      <c r="E532" s="95"/>
      <c r="F532" s="95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2">
      <c r="A533" s="18"/>
      <c r="B533" s="95"/>
      <c r="C533" s="95"/>
      <c r="D533" s="95"/>
      <c r="E533" s="95"/>
      <c r="F533" s="95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2">
      <c r="A534" s="18"/>
      <c r="B534" s="95"/>
      <c r="C534" s="95"/>
      <c r="D534" s="95"/>
      <c r="E534" s="95"/>
      <c r="F534" s="95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2">
      <c r="A535" s="18"/>
      <c r="B535" s="95"/>
      <c r="C535" s="95"/>
      <c r="D535" s="95"/>
      <c r="E535" s="95"/>
      <c r="F535" s="95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2">
      <c r="A536" s="18"/>
      <c r="B536" s="95"/>
      <c r="C536" s="95"/>
      <c r="D536" s="95"/>
      <c r="E536" s="95"/>
      <c r="F536" s="95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2">
      <c r="A537" s="18"/>
      <c r="B537" s="95"/>
      <c r="C537" s="95"/>
      <c r="D537" s="95"/>
      <c r="E537" s="95"/>
      <c r="F537" s="95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2">
      <c r="A538" s="18"/>
      <c r="B538" s="95"/>
      <c r="C538" s="95"/>
      <c r="D538" s="95"/>
      <c r="E538" s="95"/>
      <c r="F538" s="95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2">
      <c r="A539" s="18"/>
      <c r="B539" s="95"/>
      <c r="C539" s="95"/>
      <c r="D539" s="95"/>
      <c r="E539" s="95"/>
      <c r="F539" s="95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2">
      <c r="A540" s="18"/>
      <c r="B540" s="95"/>
      <c r="C540" s="95"/>
      <c r="D540" s="95"/>
      <c r="E540" s="95"/>
      <c r="F540" s="95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2">
      <c r="A541" s="18"/>
      <c r="B541" s="95"/>
      <c r="C541" s="95"/>
      <c r="D541" s="95"/>
      <c r="E541" s="95"/>
      <c r="F541" s="95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2">
      <c r="A542" s="18"/>
      <c r="B542" s="95"/>
      <c r="C542" s="95"/>
      <c r="D542" s="95"/>
      <c r="E542" s="95"/>
      <c r="F542" s="95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2">
      <c r="A543" s="18"/>
      <c r="B543" s="95"/>
      <c r="C543" s="95"/>
      <c r="D543" s="95"/>
      <c r="E543" s="95"/>
      <c r="F543" s="95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2">
      <c r="A544" s="18"/>
      <c r="B544" s="95"/>
      <c r="C544" s="95"/>
      <c r="D544" s="95"/>
      <c r="E544" s="95"/>
      <c r="F544" s="95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2">
      <c r="A545" s="18"/>
      <c r="B545" s="95"/>
      <c r="C545" s="95"/>
      <c r="D545" s="95"/>
      <c r="E545" s="95"/>
      <c r="F545" s="95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2">
      <c r="A546" s="18"/>
      <c r="B546" s="95"/>
      <c r="C546" s="95"/>
      <c r="D546" s="95"/>
      <c r="E546" s="95"/>
      <c r="F546" s="95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2">
      <c r="A547" s="18"/>
      <c r="B547" s="95"/>
      <c r="C547" s="95"/>
      <c r="D547" s="95"/>
      <c r="E547" s="95"/>
      <c r="F547" s="95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2">
      <c r="A548" s="18"/>
      <c r="B548" s="95"/>
      <c r="C548" s="95"/>
      <c r="D548" s="95"/>
      <c r="E548" s="95"/>
      <c r="F548" s="95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2">
      <c r="A549" s="18"/>
      <c r="B549" s="95"/>
      <c r="C549" s="95"/>
      <c r="D549" s="95"/>
      <c r="E549" s="95"/>
      <c r="F549" s="95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2">
      <c r="A550" s="18"/>
      <c r="B550" s="95"/>
      <c r="C550" s="95"/>
      <c r="D550" s="95"/>
      <c r="E550" s="95"/>
      <c r="F550" s="95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2">
      <c r="A551" s="18"/>
      <c r="B551" s="95"/>
      <c r="C551" s="95"/>
      <c r="D551" s="95"/>
      <c r="E551" s="95"/>
      <c r="F551" s="95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2">
      <c r="A552" s="18"/>
      <c r="B552" s="95"/>
      <c r="C552" s="95"/>
      <c r="D552" s="95"/>
      <c r="E552" s="95"/>
      <c r="F552" s="95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2">
      <c r="A553" s="18"/>
      <c r="B553" s="95"/>
      <c r="C553" s="95"/>
      <c r="D553" s="95"/>
      <c r="E553" s="95"/>
      <c r="F553" s="95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2">
      <c r="A554" s="18"/>
      <c r="B554" s="95"/>
      <c r="C554" s="95"/>
      <c r="D554" s="95"/>
      <c r="E554" s="95"/>
      <c r="F554" s="95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2">
      <c r="A555" s="18"/>
      <c r="B555" s="95"/>
      <c r="C555" s="95"/>
      <c r="D555" s="95"/>
      <c r="E555" s="95"/>
      <c r="F555" s="95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2">
      <c r="A556" s="18"/>
      <c r="B556" s="95"/>
      <c r="C556" s="95"/>
      <c r="D556" s="95"/>
      <c r="E556" s="95"/>
      <c r="F556" s="95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2">
      <c r="A557" s="18"/>
      <c r="B557" s="95"/>
      <c r="C557" s="95"/>
      <c r="D557" s="95"/>
      <c r="E557" s="95"/>
      <c r="F557" s="95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2">
      <c r="A558" s="18"/>
      <c r="B558" s="95"/>
      <c r="C558" s="95"/>
      <c r="D558" s="95"/>
      <c r="E558" s="95"/>
      <c r="F558" s="95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2">
      <c r="A559" s="18"/>
      <c r="B559" s="95"/>
      <c r="C559" s="95"/>
      <c r="D559" s="95"/>
      <c r="E559" s="95"/>
      <c r="F559" s="95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2">
      <c r="A560" s="18"/>
      <c r="B560" s="95"/>
      <c r="C560" s="95"/>
      <c r="D560" s="95"/>
      <c r="E560" s="95"/>
      <c r="F560" s="95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2">
      <c r="A561" s="18"/>
      <c r="B561" s="95"/>
      <c r="C561" s="95"/>
      <c r="D561" s="95"/>
      <c r="E561" s="95"/>
      <c r="F561" s="95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2">
      <c r="A562" s="18"/>
      <c r="B562" s="95"/>
      <c r="C562" s="95"/>
      <c r="D562" s="95"/>
      <c r="E562" s="95"/>
      <c r="F562" s="95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2">
      <c r="A563" s="18"/>
      <c r="B563" s="95"/>
      <c r="C563" s="95"/>
      <c r="D563" s="95"/>
      <c r="E563" s="95"/>
      <c r="F563" s="95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2">
      <c r="A564" s="18"/>
      <c r="B564" s="95"/>
      <c r="C564" s="95"/>
      <c r="D564" s="95"/>
      <c r="E564" s="95"/>
      <c r="F564" s="95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2">
      <c r="A565" s="18"/>
      <c r="B565" s="95"/>
      <c r="C565" s="95"/>
      <c r="D565" s="95"/>
      <c r="E565" s="95"/>
      <c r="F565" s="95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2">
      <c r="A566" s="18"/>
      <c r="B566" s="95"/>
      <c r="C566" s="95"/>
      <c r="D566" s="95"/>
      <c r="E566" s="95"/>
      <c r="F566" s="95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2">
      <c r="A567" s="18"/>
      <c r="B567" s="95"/>
      <c r="C567" s="95"/>
      <c r="D567" s="95"/>
      <c r="E567" s="95"/>
      <c r="F567" s="95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2">
      <c r="A568" s="18"/>
      <c r="B568" s="95"/>
      <c r="C568" s="95"/>
      <c r="D568" s="95"/>
      <c r="E568" s="95"/>
      <c r="F568" s="95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2">
      <c r="A569" s="18"/>
      <c r="B569" s="95"/>
      <c r="C569" s="95"/>
      <c r="D569" s="95"/>
      <c r="E569" s="95"/>
      <c r="F569" s="95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2">
      <c r="A570" s="18"/>
      <c r="B570" s="95"/>
      <c r="C570" s="95"/>
      <c r="D570" s="95"/>
      <c r="E570" s="95"/>
      <c r="F570" s="95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2">
      <c r="A571" s="18"/>
      <c r="B571" s="95"/>
      <c r="C571" s="95"/>
      <c r="D571" s="95"/>
      <c r="E571" s="95"/>
      <c r="F571" s="95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2">
      <c r="A572" s="18"/>
      <c r="B572" s="95"/>
      <c r="C572" s="95"/>
      <c r="D572" s="95"/>
      <c r="E572" s="95"/>
      <c r="F572" s="95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2">
      <c r="A573" s="18"/>
      <c r="B573" s="95"/>
      <c r="C573" s="95"/>
      <c r="D573" s="95"/>
      <c r="E573" s="95"/>
      <c r="F573" s="95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2">
      <c r="A574" s="18"/>
      <c r="B574" s="95"/>
      <c r="C574" s="95"/>
      <c r="D574" s="95"/>
      <c r="E574" s="95"/>
      <c r="F574" s="95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2">
      <c r="A575" s="18"/>
      <c r="B575" s="95"/>
      <c r="C575" s="95"/>
      <c r="D575" s="95"/>
      <c r="E575" s="95"/>
      <c r="F575" s="95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2">
      <c r="A576" s="18"/>
      <c r="B576" s="95"/>
      <c r="C576" s="95"/>
      <c r="D576" s="95"/>
      <c r="E576" s="95"/>
      <c r="F576" s="95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2">
      <c r="A577" s="18"/>
      <c r="B577" s="95"/>
      <c r="C577" s="95"/>
      <c r="D577" s="95"/>
      <c r="E577" s="95"/>
      <c r="F577" s="95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2">
      <c r="A578" s="18"/>
      <c r="B578" s="95"/>
      <c r="C578" s="95"/>
      <c r="D578" s="95"/>
      <c r="E578" s="95"/>
      <c r="F578" s="95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2">
      <c r="A579" s="18"/>
      <c r="B579" s="95"/>
      <c r="C579" s="95"/>
      <c r="D579" s="95"/>
      <c r="E579" s="95"/>
      <c r="F579" s="95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2">
      <c r="A580" s="18"/>
      <c r="B580" s="95"/>
      <c r="C580" s="95"/>
      <c r="D580" s="95"/>
      <c r="E580" s="95"/>
      <c r="F580" s="95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2">
      <c r="A581" s="18"/>
      <c r="B581" s="95"/>
      <c r="C581" s="95"/>
      <c r="D581" s="95"/>
      <c r="E581" s="95"/>
      <c r="F581" s="95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2">
      <c r="A582" s="18"/>
      <c r="B582" s="95"/>
      <c r="C582" s="95"/>
      <c r="D582" s="95"/>
      <c r="E582" s="95"/>
      <c r="F582" s="95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2">
      <c r="A583" s="18"/>
      <c r="B583" s="95"/>
      <c r="C583" s="95"/>
      <c r="D583" s="95"/>
      <c r="E583" s="95"/>
      <c r="F583" s="95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2">
      <c r="A584" s="18"/>
      <c r="B584" s="95"/>
      <c r="C584" s="95"/>
      <c r="D584" s="95"/>
      <c r="E584" s="95"/>
      <c r="F584" s="95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2">
      <c r="A585" s="18"/>
      <c r="B585" s="95"/>
      <c r="C585" s="95"/>
      <c r="D585" s="95"/>
      <c r="E585" s="95"/>
      <c r="F585" s="95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2">
      <c r="A586" s="18"/>
      <c r="B586" s="95"/>
      <c r="C586" s="95"/>
      <c r="D586" s="95"/>
      <c r="E586" s="95"/>
      <c r="F586" s="95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2">
      <c r="A587" s="18"/>
      <c r="B587" s="95"/>
      <c r="C587" s="95"/>
      <c r="D587" s="95"/>
      <c r="E587" s="95"/>
      <c r="F587" s="95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2">
      <c r="A588" s="18"/>
      <c r="B588" s="95"/>
      <c r="C588" s="95"/>
      <c r="D588" s="95"/>
      <c r="E588" s="95"/>
      <c r="F588" s="95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2">
      <c r="A589" s="18"/>
      <c r="B589" s="95"/>
      <c r="C589" s="95"/>
      <c r="D589" s="95"/>
      <c r="E589" s="95"/>
      <c r="F589" s="95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2">
      <c r="A590" s="18"/>
      <c r="B590" s="95"/>
      <c r="C590" s="95"/>
      <c r="D590" s="95"/>
      <c r="E590" s="95"/>
      <c r="F590" s="95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2">
      <c r="A591" s="18"/>
      <c r="B591" s="95"/>
      <c r="C591" s="95"/>
      <c r="D591" s="95"/>
      <c r="E591" s="95"/>
      <c r="F591" s="95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2">
      <c r="A592" s="18"/>
      <c r="B592" s="95"/>
      <c r="C592" s="95"/>
      <c r="D592" s="95"/>
      <c r="E592" s="95"/>
      <c r="F592" s="95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2">
      <c r="A593" s="18"/>
      <c r="B593" s="95"/>
      <c r="C593" s="95"/>
      <c r="D593" s="95"/>
      <c r="E593" s="95"/>
      <c r="F593" s="95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2">
      <c r="A594" s="18"/>
      <c r="B594" s="95"/>
      <c r="C594" s="95"/>
      <c r="D594" s="95"/>
      <c r="E594" s="95"/>
      <c r="F594" s="95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2">
      <c r="A595" s="18"/>
      <c r="B595" s="95"/>
      <c r="C595" s="95"/>
      <c r="D595" s="95"/>
      <c r="E595" s="95"/>
      <c r="F595" s="95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2">
      <c r="A596" s="18"/>
      <c r="B596" s="95"/>
      <c r="C596" s="95"/>
      <c r="D596" s="95"/>
      <c r="E596" s="95"/>
      <c r="F596" s="95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2">
      <c r="A597" s="18"/>
      <c r="B597" s="95"/>
      <c r="C597" s="95"/>
      <c r="D597" s="95"/>
      <c r="E597" s="95"/>
      <c r="F597" s="95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2">
      <c r="A598" s="18"/>
      <c r="B598" s="95"/>
      <c r="C598" s="95"/>
      <c r="D598" s="95"/>
      <c r="E598" s="95"/>
      <c r="F598" s="95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2">
      <c r="A599" s="18"/>
      <c r="B599" s="95"/>
      <c r="C599" s="95"/>
      <c r="D599" s="95"/>
      <c r="E599" s="95"/>
      <c r="F599" s="95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2">
      <c r="A600" s="18"/>
      <c r="B600" s="95"/>
      <c r="C600" s="95"/>
      <c r="D600" s="95"/>
      <c r="E600" s="95"/>
      <c r="F600" s="95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2">
      <c r="A601" s="18"/>
      <c r="B601" s="95"/>
      <c r="C601" s="95"/>
      <c r="D601" s="95"/>
      <c r="E601" s="95"/>
      <c r="F601" s="95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2">
      <c r="A602" s="18"/>
      <c r="B602" s="95"/>
      <c r="C602" s="95"/>
      <c r="D602" s="95"/>
      <c r="E602" s="95"/>
      <c r="F602" s="95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2">
      <c r="A603" s="18"/>
      <c r="B603" s="95"/>
      <c r="C603" s="95"/>
      <c r="D603" s="95"/>
      <c r="E603" s="95"/>
      <c r="F603" s="95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2">
      <c r="A604" s="18"/>
      <c r="B604" s="95"/>
      <c r="C604" s="95"/>
      <c r="D604" s="95"/>
      <c r="E604" s="95"/>
      <c r="F604" s="95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2">
      <c r="A605" s="18"/>
      <c r="B605" s="95"/>
      <c r="C605" s="95"/>
      <c r="D605" s="95"/>
      <c r="E605" s="95"/>
      <c r="F605" s="95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2">
      <c r="A606" s="18"/>
      <c r="B606" s="95"/>
      <c r="C606" s="95"/>
      <c r="D606" s="95"/>
      <c r="E606" s="95"/>
      <c r="F606" s="95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2">
      <c r="A607" s="18"/>
      <c r="B607" s="95"/>
      <c r="C607" s="95"/>
      <c r="D607" s="95"/>
      <c r="E607" s="95"/>
      <c r="F607" s="95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2">
      <c r="A608" s="18"/>
      <c r="B608" s="95"/>
      <c r="C608" s="95"/>
      <c r="D608" s="95"/>
      <c r="E608" s="95"/>
      <c r="F608" s="95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2">
      <c r="A609" s="18"/>
      <c r="B609" s="95"/>
      <c r="C609" s="95"/>
      <c r="D609" s="95"/>
      <c r="E609" s="95"/>
      <c r="F609" s="95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2">
      <c r="A610" s="18"/>
      <c r="B610" s="95"/>
      <c r="C610" s="95"/>
      <c r="D610" s="95"/>
      <c r="E610" s="95"/>
      <c r="F610" s="95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2">
      <c r="A611" s="18"/>
      <c r="B611" s="95"/>
      <c r="C611" s="95"/>
      <c r="D611" s="95"/>
      <c r="E611" s="95"/>
      <c r="F611" s="95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2">
      <c r="A612" s="18"/>
      <c r="B612" s="95"/>
      <c r="C612" s="95"/>
      <c r="D612" s="95"/>
      <c r="E612" s="95"/>
      <c r="F612" s="95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2">
      <c r="A613" s="18"/>
      <c r="B613" s="95"/>
      <c r="C613" s="95"/>
      <c r="D613" s="95"/>
      <c r="E613" s="95"/>
      <c r="F613" s="95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2">
      <c r="A614" s="18"/>
      <c r="B614" s="95"/>
      <c r="C614" s="95"/>
      <c r="D614" s="95"/>
      <c r="E614" s="95"/>
      <c r="F614" s="95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2">
      <c r="A615" s="18"/>
      <c r="B615" s="95"/>
      <c r="C615" s="95"/>
      <c r="D615" s="95"/>
      <c r="E615" s="95"/>
      <c r="F615" s="95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2">
      <c r="A616" s="18"/>
      <c r="B616" s="95"/>
      <c r="C616" s="95"/>
      <c r="D616" s="95"/>
      <c r="E616" s="95"/>
      <c r="F616" s="95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2">
      <c r="A617" s="18"/>
      <c r="B617" s="95"/>
      <c r="C617" s="95"/>
      <c r="D617" s="95"/>
      <c r="E617" s="95"/>
      <c r="F617" s="95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2">
      <c r="A618" s="18"/>
      <c r="B618" s="95"/>
      <c r="C618" s="95"/>
      <c r="D618" s="95"/>
      <c r="E618" s="95"/>
      <c r="F618" s="95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2">
      <c r="A619" s="18"/>
      <c r="B619" s="95"/>
      <c r="C619" s="95"/>
      <c r="D619" s="95"/>
      <c r="E619" s="95"/>
      <c r="F619" s="95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2">
      <c r="A620" s="18"/>
      <c r="B620" s="95"/>
      <c r="C620" s="95"/>
      <c r="D620" s="95"/>
      <c r="E620" s="95"/>
      <c r="F620" s="95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2">
      <c r="A621" s="18"/>
      <c r="B621" s="95"/>
      <c r="C621" s="95"/>
      <c r="D621" s="95"/>
      <c r="E621" s="95"/>
      <c r="F621" s="95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2">
      <c r="A622" s="18"/>
      <c r="B622" s="95"/>
      <c r="C622" s="95"/>
      <c r="D622" s="95"/>
      <c r="E622" s="95"/>
      <c r="F622" s="95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2">
      <c r="A623" s="18"/>
      <c r="B623" s="95"/>
      <c r="C623" s="95"/>
      <c r="D623" s="95"/>
      <c r="E623" s="95"/>
      <c r="F623" s="95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2">
      <c r="A624" s="18"/>
      <c r="B624" s="95"/>
      <c r="C624" s="95"/>
      <c r="D624" s="95"/>
      <c r="E624" s="95"/>
      <c r="F624" s="95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2">
      <c r="A625" s="18"/>
      <c r="B625" s="95"/>
      <c r="C625" s="95"/>
      <c r="D625" s="95"/>
      <c r="E625" s="95"/>
      <c r="F625" s="95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2">
      <c r="A626" s="18"/>
      <c r="B626" s="95"/>
      <c r="C626" s="95"/>
      <c r="D626" s="95"/>
      <c r="E626" s="95"/>
      <c r="F626" s="95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2">
      <c r="A627" s="18"/>
      <c r="B627" s="95"/>
      <c r="C627" s="95"/>
      <c r="D627" s="95"/>
      <c r="E627" s="95"/>
      <c r="F627" s="95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2">
      <c r="A628" s="18"/>
      <c r="B628" s="95"/>
      <c r="C628" s="95"/>
      <c r="D628" s="95"/>
      <c r="E628" s="95"/>
      <c r="F628" s="95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2">
      <c r="A629" s="18"/>
      <c r="B629" s="95"/>
      <c r="C629" s="95"/>
      <c r="D629" s="95"/>
      <c r="E629" s="95"/>
      <c r="F629" s="95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2">
      <c r="A630" s="18"/>
      <c r="B630" s="95"/>
      <c r="C630" s="95"/>
      <c r="D630" s="95"/>
      <c r="E630" s="95"/>
      <c r="F630" s="95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2">
      <c r="A631" s="18"/>
      <c r="B631" s="95"/>
      <c r="C631" s="95"/>
      <c r="D631" s="95"/>
      <c r="E631" s="95"/>
      <c r="F631" s="95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2">
      <c r="A632" s="18"/>
      <c r="B632" s="95"/>
      <c r="C632" s="95"/>
      <c r="D632" s="95"/>
      <c r="E632" s="95"/>
      <c r="F632" s="95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2">
      <c r="A633" s="18"/>
      <c r="B633" s="95"/>
      <c r="C633" s="95"/>
      <c r="D633" s="95"/>
      <c r="E633" s="95"/>
      <c r="F633" s="95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2">
      <c r="A634" s="18"/>
      <c r="B634" s="95"/>
      <c r="C634" s="95"/>
      <c r="D634" s="95"/>
      <c r="E634" s="95"/>
      <c r="F634" s="95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2">
      <c r="A635" s="18"/>
      <c r="B635" s="95"/>
      <c r="C635" s="95"/>
      <c r="D635" s="95"/>
      <c r="E635" s="95"/>
      <c r="F635" s="95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2">
      <c r="A636" s="18"/>
      <c r="B636" s="95"/>
      <c r="C636" s="95"/>
      <c r="D636" s="95"/>
      <c r="E636" s="95"/>
      <c r="F636" s="95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2">
      <c r="A637" s="18"/>
      <c r="B637" s="95"/>
      <c r="C637" s="95"/>
      <c r="D637" s="95"/>
      <c r="E637" s="95"/>
      <c r="F637" s="95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2">
      <c r="A638" s="18"/>
      <c r="B638" s="95"/>
      <c r="C638" s="95"/>
      <c r="D638" s="95"/>
      <c r="E638" s="95"/>
      <c r="F638" s="95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2">
      <c r="A639" s="18"/>
      <c r="B639" s="95"/>
      <c r="C639" s="95"/>
      <c r="D639" s="95"/>
      <c r="E639" s="95"/>
      <c r="F639" s="95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2">
      <c r="A640" s="18"/>
      <c r="B640" s="95"/>
      <c r="C640" s="95"/>
      <c r="D640" s="95"/>
      <c r="E640" s="95"/>
      <c r="F640" s="95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2">
      <c r="A641" s="18"/>
      <c r="B641" s="95"/>
      <c r="C641" s="95"/>
      <c r="D641" s="95"/>
      <c r="E641" s="95"/>
      <c r="F641" s="95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2">
      <c r="A642" s="18"/>
      <c r="B642" s="95"/>
      <c r="C642" s="95"/>
      <c r="D642" s="95"/>
      <c r="E642" s="95"/>
      <c r="F642" s="95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2">
      <c r="A643" s="18"/>
      <c r="B643" s="95"/>
      <c r="C643" s="95"/>
      <c r="D643" s="95"/>
      <c r="E643" s="95"/>
      <c r="F643" s="95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2">
      <c r="A644" s="18"/>
      <c r="B644" s="95"/>
      <c r="C644" s="95"/>
      <c r="D644" s="95"/>
      <c r="E644" s="95"/>
      <c r="F644" s="95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2">
      <c r="A645" s="18"/>
      <c r="B645" s="95"/>
      <c r="C645" s="95"/>
      <c r="D645" s="95"/>
      <c r="E645" s="95"/>
      <c r="F645" s="95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2">
      <c r="A646" s="18"/>
      <c r="B646" s="95"/>
      <c r="C646" s="95"/>
      <c r="D646" s="95"/>
      <c r="E646" s="95"/>
      <c r="F646" s="95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2">
      <c r="A647" s="18"/>
      <c r="B647" s="95"/>
      <c r="C647" s="95"/>
      <c r="D647" s="95"/>
      <c r="E647" s="95"/>
      <c r="F647" s="95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2">
      <c r="A648" s="18"/>
      <c r="B648" s="95"/>
      <c r="C648" s="95"/>
      <c r="D648" s="95"/>
      <c r="E648" s="95"/>
      <c r="F648" s="95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2">
      <c r="A649" s="18"/>
      <c r="B649" s="95"/>
      <c r="C649" s="95"/>
      <c r="D649" s="95"/>
      <c r="E649" s="95"/>
      <c r="F649" s="95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2">
      <c r="A650" s="18"/>
      <c r="B650" s="95"/>
      <c r="C650" s="95"/>
      <c r="D650" s="95"/>
      <c r="E650" s="95"/>
      <c r="F650" s="95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2">
      <c r="A651" s="18"/>
      <c r="B651" s="95"/>
      <c r="C651" s="95"/>
      <c r="D651" s="95"/>
      <c r="E651" s="95"/>
      <c r="F651" s="95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2">
      <c r="A652" s="18"/>
      <c r="B652" s="95"/>
      <c r="C652" s="95"/>
      <c r="D652" s="95"/>
      <c r="E652" s="95"/>
      <c r="F652" s="95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2">
      <c r="A653" s="18"/>
      <c r="B653" s="95"/>
      <c r="C653" s="95"/>
      <c r="D653" s="95"/>
      <c r="E653" s="95"/>
      <c r="F653" s="95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2">
      <c r="A654" s="18"/>
      <c r="B654" s="95"/>
      <c r="C654" s="95"/>
      <c r="D654" s="95"/>
      <c r="E654" s="95"/>
      <c r="F654" s="95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2">
      <c r="A655" s="18"/>
      <c r="B655" s="95"/>
      <c r="C655" s="95"/>
      <c r="D655" s="95"/>
      <c r="E655" s="95"/>
      <c r="F655" s="95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2">
      <c r="A656" s="18"/>
      <c r="B656" s="95"/>
      <c r="C656" s="95"/>
      <c r="D656" s="95"/>
      <c r="E656" s="95"/>
      <c r="F656" s="95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2">
      <c r="A657" s="18"/>
      <c r="B657" s="95"/>
      <c r="C657" s="95"/>
      <c r="D657" s="95"/>
      <c r="E657" s="95"/>
      <c r="F657" s="95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2">
      <c r="A658" s="18"/>
      <c r="B658" s="95"/>
      <c r="C658" s="95"/>
      <c r="D658" s="95"/>
      <c r="E658" s="95"/>
      <c r="F658" s="95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2">
      <c r="A659" s="18"/>
      <c r="B659" s="95"/>
      <c r="C659" s="95"/>
      <c r="D659" s="95"/>
      <c r="E659" s="95"/>
      <c r="F659" s="95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2">
      <c r="A660" s="18"/>
      <c r="B660" s="95"/>
      <c r="C660" s="95"/>
      <c r="D660" s="95"/>
      <c r="E660" s="95"/>
      <c r="F660" s="95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2">
      <c r="A661" s="18"/>
      <c r="B661" s="95"/>
      <c r="C661" s="95"/>
      <c r="D661" s="95"/>
      <c r="E661" s="95"/>
      <c r="F661" s="95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2">
      <c r="A662" s="18"/>
      <c r="B662" s="95"/>
      <c r="C662" s="95"/>
      <c r="D662" s="95"/>
      <c r="E662" s="95"/>
      <c r="F662" s="95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2">
      <c r="A663" s="18"/>
      <c r="B663" s="95"/>
      <c r="C663" s="95"/>
      <c r="D663" s="95"/>
      <c r="E663" s="95"/>
      <c r="F663" s="95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2">
      <c r="A664" s="18"/>
      <c r="B664" s="95"/>
      <c r="C664" s="95"/>
      <c r="D664" s="95"/>
      <c r="E664" s="95"/>
      <c r="F664" s="95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2">
      <c r="A665" s="18"/>
      <c r="B665" s="95"/>
      <c r="C665" s="95"/>
      <c r="D665" s="95"/>
      <c r="E665" s="95"/>
      <c r="F665" s="95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2">
      <c r="A666" s="18"/>
      <c r="B666" s="95"/>
      <c r="C666" s="95"/>
      <c r="D666" s="95"/>
      <c r="E666" s="95"/>
      <c r="F666" s="95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2">
      <c r="A667" s="18"/>
      <c r="B667" s="95"/>
      <c r="C667" s="95"/>
      <c r="D667" s="95"/>
      <c r="E667" s="95"/>
      <c r="F667" s="95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2">
      <c r="A668" s="18"/>
      <c r="B668" s="95"/>
      <c r="C668" s="95"/>
      <c r="D668" s="95"/>
      <c r="E668" s="95"/>
      <c r="F668" s="95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2">
      <c r="A669" s="18"/>
      <c r="B669" s="95"/>
      <c r="C669" s="95"/>
      <c r="D669" s="95"/>
      <c r="E669" s="95"/>
      <c r="F669" s="95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2">
      <c r="A670" s="18"/>
      <c r="B670" s="95"/>
      <c r="C670" s="95"/>
      <c r="D670" s="95"/>
      <c r="E670" s="95"/>
      <c r="F670" s="95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2">
      <c r="A671" s="18"/>
      <c r="B671" s="95"/>
      <c r="C671" s="95"/>
      <c r="D671" s="95"/>
      <c r="E671" s="95"/>
      <c r="F671" s="95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2">
      <c r="A672" s="18"/>
      <c r="B672" s="95"/>
      <c r="C672" s="95"/>
      <c r="D672" s="95"/>
      <c r="E672" s="95"/>
      <c r="F672" s="95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2">
      <c r="A673" s="18"/>
      <c r="B673" s="95"/>
      <c r="C673" s="95"/>
      <c r="D673" s="95"/>
      <c r="E673" s="95"/>
      <c r="F673" s="95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2">
      <c r="A674" s="18"/>
      <c r="B674" s="95"/>
      <c r="C674" s="95"/>
      <c r="D674" s="95"/>
      <c r="E674" s="95"/>
      <c r="F674" s="95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2">
      <c r="A675" s="18"/>
      <c r="B675" s="95"/>
      <c r="C675" s="95"/>
      <c r="D675" s="95"/>
      <c r="E675" s="95"/>
      <c r="F675" s="95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2">
      <c r="A676" s="18"/>
      <c r="B676" s="95"/>
      <c r="C676" s="95"/>
      <c r="D676" s="95"/>
      <c r="E676" s="95"/>
      <c r="F676" s="95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2">
      <c r="A677" s="18"/>
      <c r="B677" s="95"/>
      <c r="C677" s="95"/>
      <c r="D677" s="95"/>
      <c r="E677" s="95"/>
      <c r="F677" s="95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2">
      <c r="A678" s="18"/>
      <c r="B678" s="95"/>
      <c r="C678" s="95"/>
      <c r="D678" s="95"/>
      <c r="E678" s="95"/>
      <c r="F678" s="95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2">
      <c r="A679" s="18"/>
      <c r="B679" s="95"/>
      <c r="C679" s="95"/>
      <c r="D679" s="95"/>
      <c r="E679" s="95"/>
      <c r="F679" s="95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2">
      <c r="A680" s="18"/>
      <c r="B680" s="95"/>
      <c r="C680" s="95"/>
      <c r="D680" s="95"/>
      <c r="E680" s="95"/>
      <c r="F680" s="95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2">
      <c r="A681" s="18"/>
      <c r="B681" s="95"/>
      <c r="C681" s="95"/>
      <c r="D681" s="95"/>
      <c r="E681" s="95"/>
      <c r="F681" s="95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2">
      <c r="A682" s="18"/>
      <c r="B682" s="95"/>
      <c r="C682" s="95"/>
      <c r="D682" s="95"/>
      <c r="E682" s="95"/>
      <c r="F682" s="95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2">
      <c r="A683" s="18"/>
      <c r="B683" s="95"/>
      <c r="C683" s="95"/>
      <c r="D683" s="95"/>
      <c r="E683" s="95"/>
      <c r="F683" s="95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2">
      <c r="A684" s="18"/>
      <c r="B684" s="95"/>
      <c r="C684" s="95"/>
      <c r="D684" s="95"/>
      <c r="E684" s="95"/>
      <c r="F684" s="95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2">
      <c r="A685" s="18"/>
      <c r="B685" s="95"/>
      <c r="C685" s="95"/>
      <c r="D685" s="95"/>
      <c r="E685" s="95"/>
      <c r="F685" s="95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2">
      <c r="A686" s="18"/>
      <c r="B686" s="95"/>
      <c r="C686" s="95"/>
      <c r="D686" s="95"/>
      <c r="E686" s="95"/>
      <c r="F686" s="95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2">
      <c r="A687" s="18"/>
      <c r="B687" s="95"/>
      <c r="C687" s="95"/>
      <c r="D687" s="95"/>
      <c r="E687" s="95"/>
      <c r="F687" s="95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2">
      <c r="A688" s="18"/>
      <c r="B688" s="95"/>
      <c r="C688" s="95"/>
      <c r="D688" s="95"/>
      <c r="E688" s="95"/>
      <c r="F688" s="95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2">
      <c r="A689" s="18"/>
      <c r="B689" s="95"/>
      <c r="C689" s="95"/>
      <c r="D689" s="95"/>
      <c r="E689" s="95"/>
      <c r="F689" s="95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2">
      <c r="A690" s="18"/>
      <c r="B690" s="95"/>
      <c r="C690" s="95"/>
      <c r="D690" s="95"/>
      <c r="E690" s="95"/>
      <c r="F690" s="95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2">
      <c r="A691" s="18"/>
      <c r="B691" s="95"/>
      <c r="C691" s="95"/>
      <c r="D691" s="95"/>
      <c r="E691" s="95"/>
      <c r="F691" s="95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2">
      <c r="A692" s="18"/>
      <c r="B692" s="95"/>
      <c r="C692" s="95"/>
      <c r="D692" s="95"/>
      <c r="E692" s="95"/>
      <c r="F692" s="95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2">
      <c r="A693" s="18"/>
      <c r="B693" s="95"/>
      <c r="C693" s="95"/>
      <c r="D693" s="95"/>
      <c r="E693" s="95"/>
      <c r="F693" s="95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2">
      <c r="A694" s="18"/>
      <c r="B694" s="95"/>
      <c r="C694" s="95"/>
      <c r="D694" s="95"/>
      <c r="E694" s="95"/>
      <c r="F694" s="95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2">
      <c r="A695" s="18"/>
      <c r="B695" s="95"/>
      <c r="C695" s="95"/>
      <c r="D695" s="95"/>
      <c r="E695" s="95"/>
      <c r="F695" s="95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2">
      <c r="A696" s="18"/>
      <c r="B696" s="95"/>
      <c r="C696" s="95"/>
      <c r="D696" s="95"/>
      <c r="E696" s="95"/>
      <c r="F696" s="95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2">
      <c r="A697" s="18"/>
      <c r="B697" s="95"/>
      <c r="C697" s="95"/>
      <c r="D697" s="95"/>
      <c r="E697" s="95"/>
      <c r="F697" s="95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2">
      <c r="A698" s="18"/>
      <c r="B698" s="95"/>
      <c r="C698" s="95"/>
      <c r="D698" s="95"/>
      <c r="E698" s="95"/>
      <c r="F698" s="95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2">
      <c r="A699" s="18"/>
      <c r="B699" s="95"/>
      <c r="C699" s="95"/>
      <c r="D699" s="95"/>
      <c r="E699" s="95"/>
      <c r="F699" s="95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2">
      <c r="A700" s="18"/>
      <c r="B700" s="95"/>
      <c r="C700" s="95"/>
      <c r="D700" s="95"/>
      <c r="E700" s="95"/>
      <c r="F700" s="95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2">
      <c r="A701" s="18"/>
      <c r="B701" s="95"/>
      <c r="C701" s="95"/>
      <c r="D701" s="95"/>
      <c r="E701" s="95"/>
      <c r="F701" s="95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2">
      <c r="A702" s="18"/>
      <c r="B702" s="95"/>
      <c r="C702" s="95"/>
      <c r="D702" s="95"/>
      <c r="E702" s="95"/>
      <c r="F702" s="95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2">
      <c r="A703" s="18"/>
      <c r="B703" s="95"/>
      <c r="C703" s="95"/>
      <c r="D703" s="95"/>
      <c r="E703" s="95"/>
      <c r="F703" s="95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2">
      <c r="A704" s="18"/>
      <c r="B704" s="95"/>
      <c r="C704" s="95"/>
      <c r="D704" s="95"/>
      <c r="E704" s="95"/>
      <c r="F704" s="95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2">
      <c r="A705" s="18"/>
      <c r="B705" s="95"/>
      <c r="C705" s="95"/>
      <c r="D705" s="95"/>
      <c r="E705" s="95"/>
      <c r="F705" s="95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2">
      <c r="A706" s="18"/>
      <c r="B706" s="95"/>
      <c r="C706" s="95"/>
      <c r="D706" s="95"/>
      <c r="E706" s="95"/>
      <c r="F706" s="95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2">
      <c r="A707" s="18"/>
      <c r="B707" s="95"/>
      <c r="C707" s="95"/>
      <c r="D707" s="95"/>
      <c r="E707" s="95"/>
      <c r="F707" s="95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2">
      <c r="A708" s="18"/>
      <c r="B708" s="95"/>
      <c r="C708" s="95"/>
      <c r="D708" s="95"/>
      <c r="E708" s="95"/>
      <c r="F708" s="95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2">
      <c r="A709" s="18"/>
      <c r="B709" s="95"/>
      <c r="C709" s="95"/>
      <c r="D709" s="95"/>
      <c r="E709" s="95"/>
      <c r="F709" s="95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2">
      <c r="A710" s="18"/>
      <c r="B710" s="95"/>
      <c r="C710" s="95"/>
      <c r="D710" s="95"/>
      <c r="E710" s="95"/>
      <c r="F710" s="95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2">
      <c r="A711" s="18"/>
      <c r="B711" s="95"/>
      <c r="C711" s="95"/>
      <c r="D711" s="95"/>
      <c r="E711" s="95"/>
      <c r="F711" s="95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2">
      <c r="A712" s="18"/>
      <c r="B712" s="95"/>
      <c r="C712" s="95"/>
      <c r="D712" s="95"/>
      <c r="E712" s="95"/>
      <c r="F712" s="95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2">
      <c r="A713" s="18"/>
      <c r="B713" s="95"/>
      <c r="C713" s="95"/>
      <c r="D713" s="95"/>
      <c r="E713" s="95"/>
      <c r="F713" s="95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2">
      <c r="A714" s="18"/>
      <c r="B714" s="95"/>
      <c r="C714" s="95"/>
      <c r="D714" s="95"/>
      <c r="E714" s="95"/>
      <c r="F714" s="95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2">
      <c r="A715" s="18"/>
      <c r="B715" s="95"/>
      <c r="C715" s="95"/>
      <c r="D715" s="95"/>
      <c r="E715" s="95"/>
      <c r="F715" s="95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2">
      <c r="A716" s="18"/>
      <c r="B716" s="95"/>
      <c r="C716" s="95"/>
      <c r="D716" s="95"/>
      <c r="E716" s="95"/>
      <c r="F716" s="95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2">
      <c r="A717" s="18"/>
      <c r="B717" s="95"/>
      <c r="C717" s="95"/>
      <c r="D717" s="95"/>
      <c r="E717" s="95"/>
      <c r="F717" s="95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2">
      <c r="A718" s="18"/>
      <c r="B718" s="95"/>
      <c r="C718" s="95"/>
      <c r="D718" s="95"/>
      <c r="E718" s="95"/>
      <c r="F718" s="95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2">
      <c r="A719" s="18"/>
      <c r="B719" s="95"/>
      <c r="C719" s="95"/>
      <c r="D719" s="95"/>
      <c r="E719" s="95"/>
      <c r="F719" s="95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2">
      <c r="A720" s="18"/>
      <c r="B720" s="95"/>
      <c r="C720" s="95"/>
      <c r="D720" s="95"/>
      <c r="E720" s="95"/>
      <c r="F720" s="95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2">
      <c r="A721" s="18"/>
      <c r="B721" s="95"/>
      <c r="C721" s="95"/>
      <c r="D721" s="95"/>
      <c r="E721" s="95"/>
      <c r="F721" s="95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2">
      <c r="A722" s="18"/>
      <c r="B722" s="95"/>
      <c r="C722" s="95"/>
      <c r="D722" s="95"/>
      <c r="E722" s="95"/>
      <c r="F722" s="95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2">
      <c r="A723" s="18"/>
      <c r="B723" s="95"/>
      <c r="C723" s="95"/>
      <c r="D723" s="95"/>
      <c r="E723" s="95"/>
      <c r="F723" s="95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2">
      <c r="A724" s="18"/>
      <c r="B724" s="95"/>
      <c r="C724" s="95"/>
      <c r="D724" s="95"/>
      <c r="E724" s="95"/>
      <c r="F724" s="95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2">
      <c r="A725" s="18"/>
      <c r="B725" s="95"/>
      <c r="C725" s="95"/>
      <c r="D725" s="95"/>
      <c r="E725" s="95"/>
      <c r="F725" s="95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2">
      <c r="A726" s="18"/>
      <c r="B726" s="95"/>
      <c r="C726" s="95"/>
      <c r="D726" s="95"/>
      <c r="E726" s="95"/>
      <c r="F726" s="95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2">
      <c r="A727" s="18"/>
      <c r="B727" s="95"/>
      <c r="C727" s="95"/>
      <c r="D727" s="95"/>
      <c r="E727" s="95"/>
      <c r="F727" s="95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2">
      <c r="A728" s="18"/>
      <c r="B728" s="95"/>
      <c r="C728" s="95"/>
      <c r="D728" s="95"/>
      <c r="E728" s="95"/>
      <c r="F728" s="95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2">
      <c r="A729" s="18"/>
      <c r="B729" s="95"/>
      <c r="C729" s="95"/>
      <c r="D729" s="95"/>
      <c r="E729" s="95"/>
      <c r="F729" s="95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2">
      <c r="A730" s="18"/>
      <c r="B730" s="95"/>
      <c r="C730" s="95"/>
      <c r="D730" s="95"/>
      <c r="E730" s="95"/>
      <c r="F730" s="95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2">
      <c r="A731" s="18"/>
      <c r="B731" s="95"/>
      <c r="C731" s="95"/>
      <c r="D731" s="95"/>
      <c r="E731" s="95"/>
      <c r="F731" s="95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2">
      <c r="A732" s="18"/>
      <c r="B732" s="95"/>
      <c r="C732" s="95"/>
      <c r="D732" s="95"/>
      <c r="E732" s="95"/>
      <c r="F732" s="95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2">
      <c r="A733" s="18"/>
      <c r="B733" s="95"/>
      <c r="C733" s="95"/>
      <c r="D733" s="95"/>
      <c r="E733" s="95"/>
      <c r="F733" s="95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2">
      <c r="A734" s="18"/>
      <c r="B734" s="95"/>
      <c r="C734" s="95"/>
      <c r="D734" s="95"/>
      <c r="E734" s="95"/>
      <c r="F734" s="95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2">
      <c r="A735" s="18"/>
      <c r="B735" s="95"/>
      <c r="C735" s="95"/>
      <c r="D735" s="95"/>
      <c r="E735" s="95"/>
      <c r="F735" s="95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2">
      <c r="A736" s="18"/>
      <c r="B736" s="95"/>
      <c r="C736" s="95"/>
      <c r="D736" s="95"/>
      <c r="E736" s="95"/>
      <c r="F736" s="95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2">
      <c r="A737" s="18"/>
      <c r="B737" s="95"/>
      <c r="C737" s="95"/>
      <c r="D737" s="95"/>
      <c r="E737" s="95"/>
      <c r="F737" s="95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2">
      <c r="A738" s="18"/>
      <c r="B738" s="95"/>
      <c r="C738" s="95"/>
      <c r="D738" s="95"/>
      <c r="E738" s="95"/>
      <c r="F738" s="95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2">
      <c r="A739" s="18"/>
      <c r="B739" s="95"/>
      <c r="C739" s="95"/>
      <c r="D739" s="95"/>
      <c r="E739" s="95"/>
      <c r="F739" s="95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2">
      <c r="A740" s="18"/>
      <c r="B740" s="95"/>
      <c r="C740" s="95"/>
      <c r="D740" s="95"/>
      <c r="E740" s="95"/>
      <c r="F740" s="95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2">
      <c r="A741" s="18"/>
      <c r="B741" s="95"/>
      <c r="C741" s="95"/>
      <c r="D741" s="95"/>
      <c r="E741" s="95"/>
      <c r="F741" s="95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2">
      <c r="A742" s="18"/>
      <c r="B742" s="95"/>
      <c r="C742" s="95"/>
      <c r="D742" s="95"/>
      <c r="E742" s="95"/>
      <c r="F742" s="95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2">
      <c r="A743" s="18"/>
      <c r="B743" s="95"/>
      <c r="C743" s="95"/>
      <c r="D743" s="95"/>
      <c r="E743" s="95"/>
      <c r="F743" s="95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2">
      <c r="A744" s="18"/>
      <c r="B744" s="95"/>
      <c r="C744" s="95"/>
      <c r="D744" s="95"/>
      <c r="E744" s="95"/>
      <c r="F744" s="95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2">
      <c r="A745" s="18"/>
      <c r="B745" s="95"/>
      <c r="C745" s="95"/>
      <c r="D745" s="95"/>
      <c r="E745" s="95"/>
      <c r="F745" s="95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2">
      <c r="A746" s="18"/>
      <c r="B746" s="95"/>
      <c r="C746" s="95"/>
      <c r="D746" s="95"/>
      <c r="E746" s="95"/>
      <c r="F746" s="95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2">
      <c r="A747" s="18"/>
      <c r="B747" s="95"/>
      <c r="C747" s="95"/>
      <c r="D747" s="95"/>
      <c r="E747" s="95"/>
      <c r="F747" s="95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2">
      <c r="A748" s="18"/>
      <c r="B748" s="95"/>
      <c r="C748" s="95"/>
      <c r="D748" s="95"/>
      <c r="E748" s="95"/>
      <c r="F748" s="95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2">
      <c r="A749" s="18"/>
      <c r="B749" s="95"/>
      <c r="C749" s="95"/>
      <c r="D749" s="95"/>
      <c r="E749" s="95"/>
      <c r="F749" s="95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2">
      <c r="A750" s="18"/>
      <c r="B750" s="95"/>
      <c r="C750" s="95"/>
      <c r="D750" s="95"/>
      <c r="E750" s="95"/>
      <c r="F750" s="95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2">
      <c r="A751" s="18"/>
      <c r="B751" s="95"/>
      <c r="C751" s="95"/>
      <c r="D751" s="95"/>
      <c r="E751" s="95"/>
      <c r="F751" s="95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2">
      <c r="A752" s="18"/>
      <c r="B752" s="95"/>
      <c r="C752" s="95"/>
      <c r="D752" s="95"/>
      <c r="E752" s="95"/>
      <c r="F752" s="95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2">
      <c r="A753" s="18"/>
      <c r="B753" s="95"/>
      <c r="C753" s="95"/>
      <c r="D753" s="95"/>
      <c r="E753" s="95"/>
      <c r="F753" s="95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2">
      <c r="A754" s="18"/>
      <c r="B754" s="95"/>
      <c r="C754" s="95"/>
      <c r="D754" s="95"/>
      <c r="E754" s="95"/>
      <c r="F754" s="95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2">
      <c r="A755" s="18"/>
      <c r="B755" s="95"/>
      <c r="C755" s="95"/>
      <c r="D755" s="95"/>
      <c r="E755" s="95"/>
      <c r="F755" s="95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2">
      <c r="A756" s="18"/>
      <c r="B756" s="95"/>
      <c r="C756" s="95"/>
      <c r="D756" s="95"/>
      <c r="E756" s="95"/>
      <c r="F756" s="95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2">
      <c r="A757" s="18"/>
      <c r="B757" s="95"/>
      <c r="C757" s="95"/>
      <c r="D757" s="95"/>
      <c r="E757" s="95"/>
      <c r="F757" s="95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2">
      <c r="A758" s="18"/>
      <c r="B758" s="95"/>
      <c r="C758" s="95"/>
      <c r="D758" s="95"/>
      <c r="E758" s="95"/>
      <c r="F758" s="95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2">
      <c r="A759" s="18"/>
      <c r="B759" s="95"/>
      <c r="C759" s="95"/>
      <c r="D759" s="95"/>
      <c r="E759" s="95"/>
      <c r="F759" s="95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2">
      <c r="A760" s="18"/>
      <c r="B760" s="95"/>
      <c r="C760" s="95"/>
      <c r="D760" s="95"/>
      <c r="E760" s="95"/>
      <c r="F760" s="95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2">
      <c r="A761" s="18"/>
      <c r="B761" s="95"/>
      <c r="C761" s="95"/>
      <c r="D761" s="95"/>
      <c r="E761" s="95"/>
      <c r="F761" s="95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2">
      <c r="A762" s="18"/>
      <c r="B762" s="95"/>
      <c r="C762" s="95"/>
      <c r="D762" s="95"/>
      <c r="E762" s="95"/>
      <c r="F762" s="95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2">
      <c r="A763" s="18"/>
      <c r="B763" s="95"/>
      <c r="C763" s="95"/>
      <c r="D763" s="95"/>
      <c r="E763" s="95"/>
      <c r="F763" s="95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2">
      <c r="A764" s="18"/>
      <c r="B764" s="95"/>
      <c r="C764" s="95"/>
      <c r="D764" s="95"/>
      <c r="E764" s="95"/>
      <c r="F764" s="95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2">
      <c r="A765" s="18"/>
      <c r="B765" s="95"/>
      <c r="C765" s="95"/>
      <c r="D765" s="95"/>
      <c r="E765" s="95"/>
      <c r="F765" s="95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2">
      <c r="A766" s="18"/>
      <c r="B766" s="95"/>
      <c r="C766" s="95"/>
      <c r="D766" s="95"/>
      <c r="E766" s="95"/>
      <c r="F766" s="95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2">
      <c r="A767" s="18"/>
      <c r="B767" s="95"/>
      <c r="C767" s="95"/>
      <c r="D767" s="95"/>
      <c r="E767" s="95"/>
      <c r="F767" s="95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2">
      <c r="A768" s="18"/>
      <c r="B768" s="95"/>
      <c r="C768" s="95"/>
      <c r="D768" s="95"/>
      <c r="E768" s="95"/>
      <c r="F768" s="95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2">
      <c r="A769" s="18"/>
      <c r="B769" s="95"/>
      <c r="C769" s="95"/>
      <c r="D769" s="95"/>
      <c r="E769" s="95"/>
      <c r="F769" s="95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2">
      <c r="A770" s="18"/>
      <c r="B770" s="95"/>
      <c r="C770" s="95"/>
      <c r="D770" s="95"/>
      <c r="E770" s="95"/>
      <c r="F770" s="95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2">
      <c r="A771" s="18"/>
      <c r="B771" s="95"/>
      <c r="C771" s="95"/>
      <c r="D771" s="95"/>
      <c r="E771" s="95"/>
      <c r="F771" s="95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2">
      <c r="A772" s="18"/>
      <c r="B772" s="95"/>
      <c r="C772" s="95"/>
      <c r="D772" s="95"/>
      <c r="E772" s="95"/>
      <c r="F772" s="95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2">
      <c r="A773" s="18"/>
      <c r="B773" s="95"/>
      <c r="C773" s="95"/>
      <c r="D773" s="95"/>
      <c r="E773" s="95"/>
      <c r="F773" s="95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2">
      <c r="A774" s="18"/>
      <c r="B774" s="95"/>
      <c r="C774" s="95"/>
      <c r="D774" s="95"/>
      <c r="E774" s="95"/>
      <c r="F774" s="95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2">
      <c r="A775" s="18"/>
      <c r="B775" s="95"/>
      <c r="C775" s="95"/>
      <c r="D775" s="95"/>
      <c r="E775" s="95"/>
      <c r="F775" s="95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2">
      <c r="A776" s="18"/>
      <c r="B776" s="95"/>
      <c r="C776" s="95"/>
      <c r="D776" s="95"/>
      <c r="E776" s="95"/>
      <c r="F776" s="95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2">
      <c r="A777" s="18"/>
      <c r="B777" s="95"/>
      <c r="C777" s="95"/>
      <c r="D777" s="95"/>
      <c r="E777" s="95"/>
      <c r="F777" s="95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2">
      <c r="A778" s="18"/>
      <c r="B778" s="95"/>
      <c r="C778" s="95"/>
      <c r="D778" s="95"/>
      <c r="E778" s="95"/>
      <c r="F778" s="95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2">
      <c r="A779" s="18"/>
      <c r="B779" s="95"/>
      <c r="C779" s="95"/>
      <c r="D779" s="95"/>
      <c r="E779" s="95"/>
      <c r="F779" s="95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2">
      <c r="A780" s="18"/>
      <c r="B780" s="95"/>
      <c r="C780" s="95"/>
      <c r="D780" s="95"/>
      <c r="E780" s="95"/>
      <c r="F780" s="95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2">
      <c r="A781" s="18"/>
      <c r="B781" s="95"/>
      <c r="C781" s="95"/>
      <c r="D781" s="95"/>
      <c r="E781" s="95"/>
      <c r="F781" s="95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2">
      <c r="A782" s="18"/>
      <c r="B782" s="95"/>
      <c r="C782" s="95"/>
      <c r="D782" s="95"/>
      <c r="E782" s="95"/>
      <c r="F782" s="95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2">
      <c r="A783" s="18"/>
      <c r="B783" s="95"/>
      <c r="C783" s="95"/>
      <c r="D783" s="95"/>
      <c r="E783" s="95"/>
      <c r="F783" s="95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2">
      <c r="A784" s="18"/>
      <c r="B784" s="95"/>
      <c r="C784" s="95"/>
      <c r="D784" s="95"/>
      <c r="E784" s="95"/>
      <c r="F784" s="95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2">
      <c r="A785" s="18"/>
      <c r="B785" s="95"/>
      <c r="C785" s="95"/>
      <c r="D785" s="95"/>
      <c r="E785" s="95"/>
      <c r="F785" s="95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2">
      <c r="A786" s="18"/>
      <c r="B786" s="95"/>
      <c r="C786" s="95"/>
      <c r="D786" s="95"/>
      <c r="E786" s="95"/>
      <c r="F786" s="95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2">
      <c r="A787" s="18"/>
      <c r="B787" s="95"/>
      <c r="C787" s="95"/>
      <c r="D787" s="95"/>
      <c r="E787" s="95"/>
      <c r="F787" s="95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2">
      <c r="A788" s="18"/>
      <c r="B788" s="95"/>
      <c r="C788" s="95"/>
      <c r="D788" s="95"/>
      <c r="E788" s="95"/>
      <c r="F788" s="95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2">
      <c r="A789" s="18"/>
      <c r="B789" s="95"/>
      <c r="C789" s="95"/>
      <c r="D789" s="95"/>
      <c r="E789" s="95"/>
      <c r="F789" s="95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2">
      <c r="A790" s="18"/>
      <c r="B790" s="95"/>
      <c r="C790" s="95"/>
      <c r="D790" s="95"/>
      <c r="E790" s="95"/>
      <c r="F790" s="95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2">
      <c r="A791" s="18"/>
      <c r="B791" s="95"/>
      <c r="C791" s="95"/>
      <c r="D791" s="95"/>
      <c r="E791" s="95"/>
      <c r="F791" s="95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2">
      <c r="A792" s="18"/>
      <c r="B792" s="95"/>
      <c r="C792" s="95"/>
      <c r="D792" s="95"/>
      <c r="E792" s="95"/>
      <c r="F792" s="95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2">
      <c r="A793" s="18"/>
      <c r="B793" s="95"/>
      <c r="C793" s="95"/>
      <c r="D793" s="95"/>
      <c r="E793" s="95"/>
      <c r="F793" s="95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2">
      <c r="A794" s="18"/>
      <c r="B794" s="95"/>
      <c r="C794" s="95"/>
      <c r="D794" s="95"/>
      <c r="E794" s="95"/>
      <c r="F794" s="95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2">
      <c r="A795" s="18"/>
      <c r="B795" s="95"/>
      <c r="C795" s="95"/>
      <c r="D795" s="95"/>
      <c r="E795" s="95"/>
      <c r="F795" s="95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2">
      <c r="A796" s="18"/>
      <c r="B796" s="95"/>
      <c r="C796" s="95"/>
      <c r="D796" s="95"/>
      <c r="E796" s="95"/>
      <c r="F796" s="95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2">
      <c r="A797" s="18"/>
      <c r="B797" s="95"/>
      <c r="C797" s="95"/>
      <c r="D797" s="95"/>
      <c r="E797" s="95"/>
      <c r="F797" s="95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2">
      <c r="A798" s="18"/>
      <c r="B798" s="95"/>
      <c r="C798" s="95"/>
      <c r="D798" s="95"/>
      <c r="E798" s="95"/>
      <c r="F798" s="95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2">
      <c r="A799" s="18"/>
      <c r="B799" s="95"/>
      <c r="C799" s="95"/>
      <c r="D799" s="95"/>
      <c r="E799" s="95"/>
      <c r="F799" s="95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2">
      <c r="A800" s="18"/>
      <c r="B800" s="95"/>
      <c r="C800" s="95"/>
      <c r="D800" s="95"/>
      <c r="E800" s="95"/>
      <c r="F800" s="95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2">
      <c r="A801" s="18"/>
      <c r="B801" s="95"/>
      <c r="C801" s="95"/>
      <c r="D801" s="95"/>
      <c r="E801" s="95"/>
      <c r="F801" s="95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2">
      <c r="A802" s="18"/>
      <c r="B802" s="95"/>
      <c r="C802" s="95"/>
      <c r="D802" s="95"/>
      <c r="E802" s="95"/>
      <c r="F802" s="95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2">
      <c r="A803" s="18"/>
      <c r="B803" s="95"/>
      <c r="C803" s="95"/>
      <c r="D803" s="95"/>
      <c r="E803" s="95"/>
      <c r="F803" s="95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2">
      <c r="A804" s="18"/>
      <c r="B804" s="95"/>
      <c r="C804" s="95"/>
      <c r="D804" s="95"/>
      <c r="E804" s="95"/>
      <c r="F804" s="95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2">
      <c r="A805" s="18"/>
      <c r="B805" s="95"/>
      <c r="C805" s="95"/>
      <c r="D805" s="95"/>
      <c r="E805" s="95"/>
      <c r="F805" s="95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2">
      <c r="A806" s="18"/>
      <c r="B806" s="95"/>
      <c r="C806" s="95"/>
      <c r="D806" s="95"/>
      <c r="E806" s="95"/>
      <c r="F806" s="95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2">
      <c r="A807" s="18"/>
      <c r="B807" s="95"/>
      <c r="C807" s="95"/>
      <c r="D807" s="95"/>
      <c r="E807" s="95"/>
      <c r="F807" s="95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2">
      <c r="A808" s="18"/>
      <c r="B808" s="95"/>
      <c r="C808" s="95"/>
      <c r="D808" s="95"/>
      <c r="E808" s="95"/>
      <c r="F808" s="95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2">
      <c r="A809" s="18"/>
      <c r="B809" s="95"/>
      <c r="C809" s="95"/>
      <c r="D809" s="95"/>
      <c r="E809" s="95"/>
      <c r="F809" s="95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2">
      <c r="A810" s="18"/>
      <c r="B810" s="95"/>
      <c r="C810" s="95"/>
      <c r="D810" s="95"/>
      <c r="E810" s="95"/>
      <c r="F810" s="95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2">
      <c r="A811" s="18"/>
      <c r="B811" s="95"/>
      <c r="C811" s="95"/>
      <c r="D811" s="95"/>
      <c r="E811" s="95"/>
      <c r="F811" s="95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2">
      <c r="A812" s="18"/>
      <c r="B812" s="95"/>
      <c r="C812" s="95"/>
      <c r="D812" s="95"/>
      <c r="E812" s="95"/>
      <c r="F812" s="95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2">
      <c r="A813" s="18"/>
      <c r="B813" s="95"/>
      <c r="C813" s="95"/>
      <c r="D813" s="95"/>
      <c r="E813" s="95"/>
      <c r="F813" s="95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2">
      <c r="A814" s="18"/>
      <c r="B814" s="95"/>
      <c r="C814" s="95"/>
      <c r="D814" s="95"/>
      <c r="E814" s="95"/>
      <c r="F814" s="95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2">
      <c r="A815" s="18"/>
      <c r="B815" s="95"/>
      <c r="C815" s="95"/>
      <c r="D815" s="95"/>
      <c r="E815" s="95"/>
      <c r="F815" s="95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2">
      <c r="A816" s="18"/>
      <c r="B816" s="95"/>
      <c r="C816" s="95"/>
      <c r="D816" s="95"/>
      <c r="E816" s="95"/>
      <c r="F816" s="95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2">
      <c r="A817" s="18"/>
      <c r="B817" s="95"/>
      <c r="C817" s="95"/>
      <c r="D817" s="95"/>
      <c r="E817" s="95"/>
      <c r="F817" s="95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2">
      <c r="A818" s="18"/>
      <c r="B818" s="95"/>
      <c r="C818" s="95"/>
      <c r="D818" s="95"/>
      <c r="E818" s="95"/>
      <c r="F818" s="95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2">
      <c r="A819" s="18"/>
      <c r="B819" s="95"/>
      <c r="C819" s="95"/>
      <c r="D819" s="95"/>
      <c r="E819" s="95"/>
      <c r="F819" s="95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2">
      <c r="A820" s="18"/>
      <c r="B820" s="95"/>
      <c r="C820" s="95"/>
      <c r="D820" s="95"/>
      <c r="E820" s="95"/>
      <c r="F820" s="95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2">
      <c r="A821" s="18"/>
      <c r="B821" s="95"/>
      <c r="C821" s="95"/>
      <c r="D821" s="95"/>
      <c r="E821" s="95"/>
      <c r="F821" s="95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2">
      <c r="A822" s="18"/>
      <c r="B822" s="95"/>
      <c r="C822" s="95"/>
      <c r="D822" s="95"/>
      <c r="E822" s="95"/>
      <c r="F822" s="95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2">
      <c r="A823" s="18"/>
      <c r="B823" s="95"/>
      <c r="C823" s="95"/>
      <c r="D823" s="95"/>
      <c r="E823" s="95"/>
      <c r="F823" s="95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2">
      <c r="A824" s="18"/>
      <c r="B824" s="95"/>
      <c r="C824" s="95"/>
      <c r="D824" s="95"/>
      <c r="E824" s="95"/>
      <c r="F824" s="95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2">
      <c r="A825" s="18"/>
      <c r="B825" s="95"/>
      <c r="C825" s="95"/>
      <c r="D825" s="95"/>
      <c r="E825" s="95"/>
      <c r="F825" s="95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2">
      <c r="A826" s="18"/>
      <c r="B826" s="95"/>
      <c r="C826" s="95"/>
      <c r="D826" s="95"/>
      <c r="E826" s="95"/>
      <c r="F826" s="95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2">
      <c r="A827" s="18"/>
      <c r="B827" s="95"/>
      <c r="C827" s="95"/>
      <c r="D827" s="95"/>
      <c r="E827" s="95"/>
      <c r="F827" s="95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2">
      <c r="A828" s="18"/>
      <c r="B828" s="95"/>
      <c r="C828" s="95"/>
      <c r="D828" s="95"/>
      <c r="E828" s="95"/>
      <c r="F828" s="95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2">
      <c r="A829" s="18"/>
      <c r="B829" s="95"/>
      <c r="C829" s="95"/>
      <c r="D829" s="95"/>
      <c r="E829" s="95"/>
      <c r="F829" s="95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2">
      <c r="A830" s="18"/>
      <c r="B830" s="95"/>
      <c r="C830" s="95"/>
      <c r="D830" s="95"/>
      <c r="E830" s="95"/>
      <c r="F830" s="95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2">
      <c r="A831" s="18"/>
      <c r="B831" s="95"/>
      <c r="C831" s="95"/>
      <c r="D831" s="95"/>
      <c r="E831" s="95"/>
      <c r="F831" s="95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2">
      <c r="A832" s="18"/>
      <c r="B832" s="95"/>
      <c r="C832" s="95"/>
      <c r="D832" s="95"/>
      <c r="E832" s="95"/>
      <c r="F832" s="95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2">
      <c r="A833" s="18"/>
      <c r="B833" s="95"/>
      <c r="C833" s="95"/>
      <c r="D833" s="95"/>
      <c r="E833" s="95"/>
      <c r="F833" s="95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2">
      <c r="A834" s="18"/>
      <c r="B834" s="95"/>
      <c r="C834" s="95"/>
      <c r="D834" s="95"/>
      <c r="E834" s="95"/>
      <c r="F834" s="95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2">
      <c r="A835" s="18"/>
      <c r="B835" s="95"/>
      <c r="C835" s="95"/>
      <c r="D835" s="95"/>
      <c r="E835" s="95"/>
      <c r="F835" s="95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2">
      <c r="A836" s="18"/>
      <c r="B836" s="95"/>
      <c r="C836" s="95"/>
      <c r="D836" s="95"/>
      <c r="E836" s="95"/>
      <c r="F836" s="95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2">
      <c r="A837" s="18"/>
      <c r="B837" s="95"/>
      <c r="C837" s="95"/>
      <c r="D837" s="95"/>
      <c r="E837" s="95"/>
      <c r="F837" s="95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2">
      <c r="A838" s="18"/>
      <c r="B838" s="95"/>
      <c r="C838" s="95"/>
      <c r="D838" s="95"/>
      <c r="E838" s="95"/>
      <c r="F838" s="95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2">
      <c r="A839" s="18"/>
      <c r="B839" s="95"/>
      <c r="C839" s="95"/>
      <c r="D839" s="95"/>
      <c r="E839" s="95"/>
      <c r="F839" s="95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2">
      <c r="A840" s="18"/>
      <c r="B840" s="95"/>
      <c r="C840" s="95"/>
      <c r="D840" s="95"/>
      <c r="E840" s="95"/>
      <c r="F840" s="95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2">
      <c r="A841" s="18"/>
      <c r="B841" s="95"/>
      <c r="C841" s="95"/>
      <c r="D841" s="95"/>
      <c r="E841" s="95"/>
      <c r="F841" s="95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2">
      <c r="A842" s="18"/>
      <c r="B842" s="95"/>
      <c r="C842" s="95"/>
      <c r="D842" s="95"/>
      <c r="E842" s="95"/>
      <c r="F842" s="95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2">
      <c r="A843" s="18"/>
      <c r="B843" s="95"/>
      <c r="C843" s="95"/>
      <c r="D843" s="95"/>
      <c r="E843" s="95"/>
      <c r="F843" s="95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2">
      <c r="A844" s="18"/>
      <c r="B844" s="95"/>
      <c r="C844" s="95"/>
      <c r="D844" s="95"/>
      <c r="E844" s="95"/>
      <c r="F844" s="95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2">
      <c r="A845" s="18"/>
      <c r="B845" s="95"/>
      <c r="C845" s="95"/>
      <c r="D845" s="95"/>
      <c r="E845" s="95"/>
      <c r="F845" s="95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2">
      <c r="A846" s="18"/>
      <c r="B846" s="95"/>
      <c r="C846" s="95"/>
      <c r="D846" s="95"/>
      <c r="E846" s="95"/>
      <c r="F846" s="95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2">
      <c r="A847" s="18"/>
      <c r="B847" s="95"/>
      <c r="C847" s="95"/>
      <c r="D847" s="95"/>
      <c r="E847" s="95"/>
      <c r="F847" s="95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2">
      <c r="A848" s="18"/>
      <c r="B848" s="95"/>
      <c r="C848" s="95"/>
      <c r="D848" s="95"/>
      <c r="E848" s="95"/>
      <c r="F848" s="95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2">
      <c r="A849" s="18"/>
      <c r="B849" s="95"/>
      <c r="C849" s="95"/>
      <c r="D849" s="95"/>
      <c r="E849" s="95"/>
      <c r="F849" s="95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2">
      <c r="A850" s="18"/>
      <c r="B850" s="95"/>
      <c r="C850" s="95"/>
      <c r="D850" s="95"/>
      <c r="E850" s="95"/>
      <c r="F850" s="95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2">
      <c r="A851" s="18"/>
      <c r="B851" s="95"/>
      <c r="C851" s="95"/>
      <c r="D851" s="95"/>
      <c r="E851" s="95"/>
      <c r="F851" s="95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2">
      <c r="A852" s="18"/>
      <c r="B852" s="95"/>
      <c r="C852" s="95"/>
      <c r="D852" s="95"/>
      <c r="E852" s="95"/>
      <c r="F852" s="95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2">
      <c r="A853" s="18"/>
      <c r="B853" s="95"/>
      <c r="C853" s="95"/>
      <c r="D853" s="95"/>
      <c r="E853" s="95"/>
      <c r="F853" s="95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2">
      <c r="A854" s="18"/>
      <c r="B854" s="95"/>
      <c r="C854" s="95"/>
      <c r="D854" s="95"/>
      <c r="E854" s="95"/>
      <c r="F854" s="95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2">
      <c r="A855" s="18"/>
      <c r="B855" s="95"/>
      <c r="C855" s="95"/>
      <c r="D855" s="95"/>
      <c r="E855" s="95"/>
      <c r="F855" s="95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2">
      <c r="A856" s="18"/>
      <c r="B856" s="95"/>
      <c r="C856" s="95"/>
      <c r="D856" s="95"/>
      <c r="E856" s="95"/>
      <c r="F856" s="95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2">
      <c r="A857" s="18"/>
      <c r="B857" s="95"/>
      <c r="C857" s="95"/>
      <c r="D857" s="95"/>
      <c r="E857" s="95"/>
      <c r="F857" s="95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2">
      <c r="A858" s="18"/>
      <c r="B858" s="95"/>
      <c r="C858" s="95"/>
      <c r="D858" s="95"/>
      <c r="E858" s="95"/>
      <c r="F858" s="95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2">
      <c r="A859" s="18"/>
      <c r="B859" s="95"/>
      <c r="C859" s="95"/>
      <c r="D859" s="95"/>
      <c r="E859" s="95"/>
      <c r="F859" s="95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2">
      <c r="A860" s="18"/>
      <c r="B860" s="95"/>
      <c r="C860" s="95"/>
      <c r="D860" s="95"/>
      <c r="E860" s="95"/>
      <c r="F860" s="95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2">
      <c r="A861" s="18"/>
      <c r="B861" s="95"/>
      <c r="C861" s="95"/>
      <c r="D861" s="95"/>
      <c r="E861" s="95"/>
      <c r="F861" s="95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2">
      <c r="A862" s="18"/>
      <c r="B862" s="95"/>
      <c r="C862" s="95"/>
      <c r="D862" s="95"/>
      <c r="E862" s="95"/>
      <c r="F862" s="95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2">
      <c r="A863" s="18"/>
      <c r="B863" s="95"/>
      <c r="C863" s="95"/>
      <c r="D863" s="95"/>
      <c r="E863" s="95"/>
      <c r="F863" s="95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2">
      <c r="A864" s="18"/>
      <c r="B864" s="95"/>
      <c r="C864" s="95"/>
      <c r="D864" s="95"/>
      <c r="E864" s="95"/>
      <c r="F864" s="95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2">
      <c r="A865" s="18"/>
      <c r="B865" s="95"/>
      <c r="C865" s="95"/>
      <c r="D865" s="95"/>
      <c r="E865" s="95"/>
      <c r="F865" s="95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2">
      <c r="A866" s="18"/>
      <c r="B866" s="95"/>
      <c r="C866" s="95"/>
      <c r="D866" s="95"/>
      <c r="E866" s="95"/>
      <c r="F866" s="95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2">
      <c r="A867" s="18"/>
      <c r="B867" s="95"/>
      <c r="C867" s="95"/>
      <c r="D867" s="95"/>
      <c r="E867" s="95"/>
      <c r="F867" s="95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2">
      <c r="A868" s="18"/>
      <c r="B868" s="95"/>
      <c r="C868" s="95"/>
      <c r="D868" s="95"/>
      <c r="E868" s="95"/>
      <c r="F868" s="95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2">
      <c r="A869" s="18"/>
      <c r="B869" s="95"/>
      <c r="C869" s="95"/>
      <c r="D869" s="95"/>
      <c r="E869" s="95"/>
      <c r="F869" s="95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2">
      <c r="A870" s="18"/>
      <c r="B870" s="95"/>
      <c r="C870" s="95"/>
      <c r="D870" s="95"/>
      <c r="E870" s="95"/>
      <c r="F870" s="95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2">
      <c r="A871" s="18"/>
      <c r="B871" s="95"/>
      <c r="C871" s="95"/>
      <c r="D871" s="95"/>
      <c r="E871" s="95"/>
      <c r="F871" s="95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2">
      <c r="A872" s="18"/>
      <c r="B872" s="95"/>
      <c r="C872" s="95"/>
      <c r="D872" s="95"/>
      <c r="E872" s="95"/>
      <c r="F872" s="95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2">
      <c r="A873" s="18"/>
      <c r="B873" s="95"/>
      <c r="C873" s="95"/>
      <c r="D873" s="95"/>
      <c r="E873" s="95"/>
      <c r="F873" s="95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2">
      <c r="A874" s="18"/>
      <c r="B874" s="95"/>
      <c r="C874" s="95"/>
      <c r="D874" s="95"/>
      <c r="E874" s="95"/>
      <c r="F874" s="95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2">
      <c r="A875" s="18"/>
      <c r="B875" s="95"/>
      <c r="C875" s="95"/>
      <c r="D875" s="95"/>
      <c r="E875" s="95"/>
      <c r="F875" s="95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2">
      <c r="A876" s="18"/>
      <c r="B876" s="95"/>
      <c r="C876" s="95"/>
      <c r="D876" s="95"/>
      <c r="E876" s="95"/>
      <c r="F876" s="95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2">
      <c r="A877" s="18"/>
      <c r="B877" s="95"/>
      <c r="C877" s="95"/>
      <c r="D877" s="95"/>
      <c r="E877" s="95"/>
      <c r="F877" s="95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2">
      <c r="A878" s="18"/>
      <c r="B878" s="95"/>
      <c r="C878" s="95"/>
      <c r="D878" s="95"/>
      <c r="E878" s="95"/>
      <c r="F878" s="95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2">
      <c r="A879" s="18"/>
      <c r="B879" s="95"/>
      <c r="C879" s="95"/>
      <c r="D879" s="95"/>
      <c r="E879" s="95"/>
      <c r="F879" s="95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2">
      <c r="A880" s="18"/>
      <c r="B880" s="95"/>
      <c r="C880" s="95"/>
      <c r="D880" s="95"/>
      <c r="E880" s="95"/>
      <c r="F880" s="95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2">
      <c r="A881" s="18"/>
      <c r="B881" s="95"/>
      <c r="C881" s="95"/>
      <c r="D881" s="95"/>
      <c r="E881" s="95"/>
      <c r="F881" s="95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2">
      <c r="A882" s="18"/>
      <c r="B882" s="95"/>
      <c r="C882" s="95"/>
      <c r="D882" s="95"/>
      <c r="E882" s="95"/>
      <c r="F882" s="95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2">
      <c r="A883" s="18"/>
      <c r="B883" s="95"/>
      <c r="C883" s="95"/>
      <c r="D883" s="95"/>
      <c r="E883" s="95"/>
      <c r="F883" s="95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2">
      <c r="A884" s="18"/>
      <c r="B884" s="95"/>
      <c r="C884" s="95"/>
      <c r="D884" s="95"/>
      <c r="E884" s="95"/>
      <c r="F884" s="95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2">
      <c r="A885" s="18"/>
      <c r="B885" s="95"/>
      <c r="C885" s="95"/>
      <c r="D885" s="95"/>
      <c r="E885" s="95"/>
      <c r="F885" s="95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2">
      <c r="A886" s="18"/>
      <c r="B886" s="95"/>
      <c r="C886" s="95"/>
      <c r="D886" s="95"/>
      <c r="E886" s="95"/>
      <c r="F886" s="95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2">
      <c r="A887" s="18"/>
      <c r="B887" s="95"/>
      <c r="C887" s="95"/>
      <c r="D887" s="95"/>
      <c r="E887" s="95"/>
      <c r="F887" s="95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2">
      <c r="A888" s="18"/>
      <c r="B888" s="95"/>
      <c r="C888" s="95"/>
      <c r="D888" s="95"/>
      <c r="E888" s="95"/>
      <c r="F888" s="95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2">
      <c r="A889" s="18"/>
      <c r="B889" s="95"/>
      <c r="C889" s="95"/>
      <c r="D889" s="95"/>
      <c r="E889" s="95"/>
      <c r="F889" s="95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2">
      <c r="A890" s="18"/>
      <c r="B890" s="95"/>
      <c r="C890" s="95"/>
      <c r="D890" s="95"/>
      <c r="E890" s="95"/>
      <c r="F890" s="95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2">
      <c r="A891" s="18"/>
      <c r="B891" s="95"/>
      <c r="C891" s="95"/>
      <c r="D891" s="95"/>
      <c r="E891" s="95"/>
      <c r="F891" s="95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2">
      <c r="A892" s="18"/>
      <c r="B892" s="95"/>
      <c r="C892" s="95"/>
      <c r="D892" s="95"/>
      <c r="E892" s="95"/>
      <c r="F892" s="95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2">
      <c r="A893" s="18"/>
      <c r="B893" s="95"/>
      <c r="C893" s="95"/>
      <c r="D893" s="95"/>
      <c r="E893" s="95"/>
      <c r="F893" s="95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2">
      <c r="A894" s="18"/>
      <c r="B894" s="95"/>
      <c r="C894" s="95"/>
      <c r="D894" s="95"/>
      <c r="E894" s="95"/>
      <c r="F894" s="95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2">
      <c r="A895" s="18"/>
      <c r="B895" s="95"/>
      <c r="C895" s="95"/>
      <c r="D895" s="95"/>
      <c r="E895" s="95"/>
      <c r="F895" s="95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2">
      <c r="A896" s="18"/>
      <c r="B896" s="95"/>
      <c r="C896" s="95"/>
      <c r="D896" s="95"/>
      <c r="E896" s="95"/>
      <c r="F896" s="95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2">
      <c r="A897" s="18"/>
      <c r="B897" s="95"/>
      <c r="C897" s="95"/>
      <c r="D897" s="95"/>
      <c r="E897" s="95"/>
      <c r="F897" s="95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2">
      <c r="A898" s="18"/>
      <c r="B898" s="95"/>
      <c r="C898" s="95"/>
      <c r="D898" s="95"/>
      <c r="E898" s="95"/>
      <c r="F898" s="95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2">
      <c r="A899" s="18"/>
      <c r="B899" s="95"/>
      <c r="C899" s="95"/>
      <c r="D899" s="95"/>
      <c r="E899" s="95"/>
      <c r="F899" s="95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2">
      <c r="A900" s="18"/>
      <c r="B900" s="95"/>
      <c r="C900" s="95"/>
      <c r="D900" s="95"/>
      <c r="E900" s="95"/>
      <c r="F900" s="95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2">
      <c r="A901" s="18"/>
      <c r="B901" s="95"/>
      <c r="C901" s="95"/>
      <c r="D901" s="95"/>
      <c r="E901" s="95"/>
      <c r="F901" s="95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2">
      <c r="A902" s="18"/>
      <c r="B902" s="95"/>
      <c r="C902" s="95"/>
      <c r="D902" s="95"/>
      <c r="E902" s="95"/>
      <c r="F902" s="95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2">
      <c r="A903" s="18"/>
      <c r="B903" s="95"/>
      <c r="C903" s="95"/>
      <c r="D903" s="95"/>
      <c r="E903" s="95"/>
      <c r="F903" s="95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2">
      <c r="A904" s="18"/>
      <c r="B904" s="95"/>
      <c r="C904" s="95"/>
      <c r="D904" s="95"/>
      <c r="E904" s="95"/>
      <c r="F904" s="95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2">
      <c r="A905" s="18"/>
      <c r="B905" s="95"/>
      <c r="C905" s="95"/>
      <c r="D905" s="95"/>
      <c r="E905" s="95"/>
      <c r="F905" s="95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2">
      <c r="A906" s="18"/>
      <c r="B906" s="95"/>
      <c r="C906" s="95"/>
      <c r="D906" s="95"/>
      <c r="E906" s="95"/>
      <c r="F906" s="95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2">
      <c r="A907" s="18"/>
      <c r="B907" s="95"/>
      <c r="C907" s="95"/>
      <c r="D907" s="95"/>
      <c r="E907" s="95"/>
      <c r="F907" s="95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2">
      <c r="A908" s="18"/>
      <c r="B908" s="95"/>
      <c r="C908" s="95"/>
      <c r="D908" s="95"/>
      <c r="E908" s="95"/>
      <c r="F908" s="95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2">
      <c r="A909" s="18"/>
      <c r="B909" s="95"/>
      <c r="C909" s="95"/>
      <c r="D909" s="95"/>
      <c r="E909" s="95"/>
      <c r="F909" s="95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2">
      <c r="A910" s="18"/>
      <c r="B910" s="95"/>
      <c r="C910" s="95"/>
      <c r="D910" s="95"/>
      <c r="E910" s="95"/>
      <c r="F910" s="95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2">
      <c r="A911" s="18"/>
      <c r="B911" s="95"/>
      <c r="C911" s="95"/>
      <c r="D911" s="95"/>
      <c r="E911" s="95"/>
      <c r="F911" s="95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2">
      <c r="A912" s="18"/>
      <c r="B912" s="95"/>
      <c r="C912" s="95"/>
      <c r="D912" s="95"/>
      <c r="E912" s="95"/>
      <c r="F912" s="95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2">
      <c r="A913" s="18"/>
      <c r="B913" s="95"/>
      <c r="C913" s="95"/>
      <c r="D913" s="95"/>
      <c r="E913" s="95"/>
      <c r="F913" s="95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2">
      <c r="A914" s="18"/>
      <c r="B914" s="95"/>
      <c r="C914" s="95"/>
      <c r="D914" s="95"/>
      <c r="E914" s="95"/>
      <c r="F914" s="95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2">
      <c r="A915" s="18"/>
      <c r="B915" s="95"/>
      <c r="C915" s="95"/>
      <c r="D915" s="95"/>
      <c r="E915" s="95"/>
      <c r="F915" s="95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2">
      <c r="A916" s="18"/>
      <c r="B916" s="95"/>
      <c r="C916" s="95"/>
      <c r="D916" s="95"/>
      <c r="E916" s="95"/>
      <c r="F916" s="95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2">
      <c r="A917" s="18"/>
      <c r="B917" s="95"/>
      <c r="C917" s="95"/>
      <c r="D917" s="95"/>
      <c r="E917" s="95"/>
      <c r="F917" s="95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2">
      <c r="A918" s="18"/>
      <c r="B918" s="95"/>
      <c r="C918" s="95"/>
      <c r="D918" s="95"/>
      <c r="E918" s="95"/>
      <c r="F918" s="95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2">
      <c r="A919" s="18"/>
      <c r="B919" s="95"/>
      <c r="C919" s="95"/>
      <c r="D919" s="95"/>
      <c r="E919" s="95"/>
      <c r="F919" s="95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2">
      <c r="A920" s="18"/>
      <c r="B920" s="95"/>
      <c r="C920" s="95"/>
      <c r="D920" s="95"/>
      <c r="E920" s="95"/>
      <c r="F920" s="95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2">
      <c r="A921" s="18"/>
      <c r="B921" s="95"/>
      <c r="C921" s="95"/>
      <c r="D921" s="95"/>
      <c r="E921" s="95"/>
      <c r="F921" s="95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2">
      <c r="A922" s="18"/>
      <c r="B922" s="95"/>
      <c r="C922" s="95"/>
      <c r="D922" s="95"/>
      <c r="E922" s="95"/>
      <c r="F922" s="95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2">
      <c r="A923" s="18"/>
      <c r="B923" s="95"/>
      <c r="C923" s="95"/>
      <c r="D923" s="95"/>
      <c r="E923" s="95"/>
      <c r="F923" s="95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2">
      <c r="A924" s="18"/>
      <c r="B924" s="95"/>
      <c r="C924" s="95"/>
      <c r="D924" s="95"/>
      <c r="E924" s="95"/>
      <c r="F924" s="95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2">
      <c r="A925" s="18"/>
      <c r="B925" s="95"/>
      <c r="C925" s="95"/>
      <c r="D925" s="95"/>
      <c r="E925" s="95"/>
      <c r="F925" s="95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2">
      <c r="A926" s="18"/>
      <c r="B926" s="95"/>
      <c r="C926" s="95"/>
      <c r="D926" s="95"/>
      <c r="E926" s="95"/>
      <c r="F926" s="95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2">
      <c r="A927" s="18"/>
      <c r="B927" s="95"/>
      <c r="C927" s="95"/>
      <c r="D927" s="95"/>
      <c r="E927" s="95"/>
      <c r="F927" s="95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2">
      <c r="A928" s="18"/>
      <c r="B928" s="95"/>
      <c r="C928" s="95"/>
      <c r="D928" s="95"/>
      <c r="E928" s="95"/>
      <c r="F928" s="95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2">
      <c r="A929" s="18"/>
      <c r="B929" s="95"/>
      <c r="C929" s="95"/>
      <c r="D929" s="95"/>
      <c r="E929" s="95"/>
      <c r="F929" s="95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2">
      <c r="A930" s="18"/>
      <c r="B930" s="95"/>
      <c r="C930" s="95"/>
      <c r="D930" s="95"/>
      <c r="E930" s="95"/>
      <c r="F930" s="95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2">
      <c r="A931" s="18"/>
      <c r="B931" s="95"/>
      <c r="C931" s="95"/>
      <c r="D931" s="95"/>
      <c r="E931" s="95"/>
      <c r="F931" s="95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2">
      <c r="A932" s="18"/>
      <c r="B932" s="95"/>
      <c r="C932" s="95"/>
      <c r="D932" s="95"/>
      <c r="E932" s="95"/>
      <c r="F932" s="95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2">
      <c r="A933" s="18"/>
      <c r="B933" s="95"/>
      <c r="C933" s="95"/>
      <c r="D933" s="95"/>
      <c r="E933" s="95"/>
      <c r="F933" s="95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2">
      <c r="A934" s="18"/>
      <c r="B934" s="95"/>
      <c r="C934" s="95"/>
      <c r="D934" s="95"/>
      <c r="E934" s="95"/>
      <c r="F934" s="95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2">
      <c r="A935" s="18"/>
      <c r="B935" s="95"/>
      <c r="C935" s="95"/>
      <c r="D935" s="95"/>
      <c r="E935" s="95"/>
      <c r="F935" s="95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2">
      <c r="A936" s="18"/>
      <c r="B936" s="95"/>
      <c r="C936" s="95"/>
      <c r="D936" s="95"/>
      <c r="E936" s="95"/>
      <c r="F936" s="95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2">
      <c r="A937" s="18"/>
      <c r="B937" s="95"/>
      <c r="C937" s="95"/>
      <c r="D937" s="95"/>
      <c r="E937" s="95"/>
      <c r="F937" s="95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2">
      <c r="A938" s="18"/>
      <c r="B938" s="95"/>
      <c r="C938" s="95"/>
      <c r="D938" s="95"/>
      <c r="E938" s="95"/>
      <c r="F938" s="95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2">
      <c r="A939" s="18"/>
      <c r="B939" s="95"/>
      <c r="C939" s="95"/>
      <c r="D939" s="95"/>
      <c r="E939" s="95"/>
      <c r="F939" s="95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2">
      <c r="A940" s="18"/>
      <c r="B940" s="95"/>
      <c r="C940" s="95"/>
      <c r="D940" s="95"/>
      <c r="E940" s="95"/>
      <c r="F940" s="95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2">
      <c r="A941" s="18"/>
      <c r="B941" s="95"/>
      <c r="C941" s="95"/>
      <c r="D941" s="95"/>
      <c r="E941" s="95"/>
      <c r="F941" s="95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2">
      <c r="A942" s="18"/>
      <c r="B942" s="95"/>
      <c r="C942" s="95"/>
      <c r="D942" s="95"/>
      <c r="E942" s="95"/>
      <c r="F942" s="95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2">
      <c r="A943" s="18"/>
      <c r="B943" s="95"/>
      <c r="C943" s="95"/>
      <c r="D943" s="95"/>
      <c r="E943" s="95"/>
      <c r="F943" s="95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2">
      <c r="A944" s="18"/>
      <c r="B944" s="95"/>
      <c r="C944" s="95"/>
      <c r="D944" s="95"/>
      <c r="E944" s="95"/>
      <c r="F944" s="95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2">
      <c r="A945" s="18"/>
      <c r="B945" s="95"/>
      <c r="C945" s="95"/>
      <c r="D945" s="95"/>
      <c r="E945" s="95"/>
      <c r="F945" s="95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2">
      <c r="A946" s="18"/>
      <c r="B946" s="95"/>
      <c r="C946" s="95"/>
      <c r="D946" s="95"/>
      <c r="E946" s="95"/>
      <c r="F946" s="95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2">
      <c r="A947" s="18"/>
      <c r="B947" s="95"/>
      <c r="C947" s="95"/>
      <c r="D947" s="95"/>
      <c r="E947" s="95"/>
      <c r="F947" s="95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2">
      <c r="A948" s="18"/>
      <c r="B948" s="95"/>
      <c r="C948" s="95"/>
      <c r="D948" s="95"/>
      <c r="E948" s="95"/>
      <c r="F948" s="95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2">
      <c r="A949" s="18"/>
      <c r="B949" s="95"/>
      <c r="C949" s="95"/>
      <c r="D949" s="95"/>
      <c r="E949" s="95"/>
      <c r="F949" s="95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2">
      <c r="A950" s="18"/>
      <c r="B950" s="95"/>
      <c r="C950" s="95"/>
      <c r="D950" s="95"/>
      <c r="E950" s="95"/>
      <c r="F950" s="95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2">
      <c r="A951" s="18"/>
      <c r="B951" s="95"/>
      <c r="C951" s="95"/>
      <c r="D951" s="95"/>
      <c r="E951" s="95"/>
      <c r="F951" s="95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2">
      <c r="A952" s="18"/>
      <c r="B952" s="95"/>
      <c r="C952" s="95"/>
      <c r="D952" s="95"/>
      <c r="E952" s="95"/>
      <c r="F952" s="95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2">
      <c r="A953" s="18"/>
      <c r="B953" s="95"/>
      <c r="C953" s="95"/>
      <c r="D953" s="95"/>
      <c r="E953" s="95"/>
      <c r="F953" s="95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2">
      <c r="A954" s="18"/>
      <c r="B954" s="95"/>
      <c r="C954" s="95"/>
      <c r="D954" s="95"/>
      <c r="E954" s="95"/>
      <c r="F954" s="95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2">
      <c r="A955" s="18"/>
      <c r="B955" s="95"/>
      <c r="C955" s="95"/>
      <c r="D955" s="95"/>
      <c r="E955" s="95"/>
      <c r="F955" s="95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2">
      <c r="A956" s="18"/>
      <c r="B956" s="95"/>
      <c r="C956" s="95"/>
      <c r="D956" s="95"/>
      <c r="E956" s="95"/>
      <c r="F956" s="95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2">
      <c r="A957" s="18"/>
      <c r="B957" s="95"/>
      <c r="C957" s="95"/>
      <c r="D957" s="95"/>
      <c r="E957" s="95"/>
      <c r="F957" s="95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2">
      <c r="A958" s="18"/>
      <c r="B958" s="95"/>
      <c r="C958" s="95"/>
      <c r="D958" s="95"/>
      <c r="E958" s="95"/>
      <c r="F958" s="95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2">
      <c r="A959" s="18"/>
      <c r="B959" s="95"/>
      <c r="C959" s="95"/>
      <c r="D959" s="95"/>
      <c r="E959" s="95"/>
      <c r="F959" s="95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2">
      <c r="A960" s="18"/>
      <c r="B960" s="95"/>
      <c r="C960" s="95"/>
      <c r="D960" s="95"/>
      <c r="E960" s="95"/>
      <c r="F960" s="95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2">
      <c r="A961" s="18"/>
      <c r="B961" s="95"/>
      <c r="C961" s="95"/>
      <c r="D961" s="95"/>
      <c r="E961" s="95"/>
      <c r="F961" s="95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2">
      <c r="A962" s="18"/>
      <c r="B962" s="95"/>
      <c r="C962" s="95"/>
      <c r="D962" s="95"/>
      <c r="E962" s="95"/>
      <c r="F962" s="95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2">
      <c r="A963" s="18"/>
      <c r="B963" s="95"/>
      <c r="C963" s="95"/>
      <c r="D963" s="95"/>
      <c r="E963" s="95"/>
      <c r="F963" s="95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2">
      <c r="A964" s="18"/>
      <c r="B964" s="95"/>
      <c r="C964" s="95"/>
      <c r="D964" s="95"/>
      <c r="E964" s="95"/>
      <c r="F964" s="95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2">
      <c r="A965" s="18"/>
      <c r="B965" s="95"/>
      <c r="C965" s="95"/>
      <c r="D965" s="95"/>
      <c r="E965" s="95"/>
      <c r="F965" s="95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2">
      <c r="A966" s="18"/>
      <c r="B966" s="95"/>
      <c r="C966" s="95"/>
      <c r="D966" s="95"/>
      <c r="E966" s="95"/>
      <c r="F966" s="95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2">
      <c r="A967" s="18"/>
      <c r="B967" s="95"/>
      <c r="C967" s="95"/>
      <c r="D967" s="95"/>
      <c r="E967" s="95"/>
      <c r="F967" s="95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2">
      <c r="A968" s="18"/>
      <c r="B968" s="95"/>
      <c r="C968" s="95"/>
      <c r="D968" s="95"/>
      <c r="E968" s="95"/>
      <c r="F968" s="95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2">
      <c r="A969" s="18"/>
      <c r="B969" s="95"/>
      <c r="C969" s="95"/>
      <c r="D969" s="95"/>
      <c r="E969" s="95"/>
      <c r="F969" s="95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2">
      <c r="A970" s="18"/>
      <c r="B970" s="95"/>
      <c r="C970" s="95"/>
      <c r="D970" s="95"/>
      <c r="E970" s="95"/>
      <c r="F970" s="95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2">
      <c r="A971" s="18"/>
      <c r="B971" s="95"/>
      <c r="C971" s="95"/>
      <c r="D971" s="95"/>
      <c r="E971" s="95"/>
      <c r="F971" s="95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2">
      <c r="A972" s="18"/>
      <c r="B972" s="95"/>
      <c r="C972" s="95"/>
      <c r="D972" s="95"/>
      <c r="E972" s="95"/>
      <c r="F972" s="95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2">
      <c r="A973" s="18"/>
      <c r="B973" s="95"/>
      <c r="C973" s="95"/>
      <c r="D973" s="95"/>
      <c r="E973" s="95"/>
      <c r="F973" s="95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2">
      <c r="A974" s="18"/>
      <c r="B974" s="95"/>
      <c r="C974" s="95"/>
      <c r="D974" s="95"/>
      <c r="E974" s="95"/>
      <c r="F974" s="95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2">
      <c r="A975" s="18"/>
      <c r="B975" s="95"/>
      <c r="C975" s="95"/>
      <c r="D975" s="95"/>
      <c r="E975" s="95"/>
      <c r="F975" s="95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2">
      <c r="A976" s="18"/>
      <c r="B976" s="95"/>
      <c r="C976" s="95"/>
      <c r="D976" s="95"/>
      <c r="E976" s="95"/>
      <c r="F976" s="95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2">
      <c r="A977" s="18"/>
      <c r="B977" s="95"/>
      <c r="C977" s="95"/>
      <c r="D977" s="95"/>
      <c r="E977" s="95"/>
      <c r="F977" s="95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2">
      <c r="A978" s="18"/>
      <c r="B978" s="95"/>
      <c r="C978" s="95"/>
      <c r="D978" s="95"/>
      <c r="E978" s="95"/>
      <c r="F978" s="95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2">
      <c r="A979" s="18"/>
      <c r="B979" s="95"/>
      <c r="C979" s="95"/>
      <c r="D979" s="95"/>
      <c r="E979" s="95"/>
      <c r="F979" s="95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2">
      <c r="A980" s="18"/>
      <c r="B980" s="95"/>
      <c r="C980" s="95"/>
      <c r="D980" s="95"/>
      <c r="E980" s="95"/>
      <c r="F980" s="95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2">
      <c r="A981" s="18"/>
      <c r="B981" s="95"/>
      <c r="C981" s="95"/>
      <c r="D981" s="95"/>
      <c r="E981" s="95"/>
      <c r="F981" s="95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2">
      <c r="A982" s="18"/>
      <c r="B982" s="95"/>
      <c r="C982" s="95"/>
      <c r="D982" s="95"/>
      <c r="E982" s="95"/>
      <c r="F982" s="95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2">
      <c r="A983" s="18"/>
      <c r="B983" s="95"/>
      <c r="C983" s="95"/>
      <c r="D983" s="95"/>
      <c r="E983" s="95"/>
      <c r="F983" s="95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2">
      <c r="A984" s="18"/>
      <c r="B984" s="95"/>
      <c r="C984" s="95"/>
      <c r="D984" s="95"/>
      <c r="E984" s="95"/>
      <c r="F984" s="95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2">
      <c r="A985" s="18"/>
      <c r="B985" s="95"/>
      <c r="C985" s="95"/>
      <c r="D985" s="95"/>
      <c r="E985" s="95"/>
      <c r="F985" s="95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2">
      <c r="A986" s="18"/>
      <c r="B986" s="95"/>
      <c r="C986" s="95"/>
      <c r="D986" s="95"/>
      <c r="E986" s="95"/>
      <c r="F986" s="95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2">
      <c r="A987" s="18"/>
      <c r="B987" s="95"/>
      <c r="C987" s="95"/>
      <c r="D987" s="95"/>
      <c r="E987" s="95"/>
      <c r="F987" s="95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2">
      <c r="A988" s="18"/>
      <c r="B988" s="95"/>
      <c r="C988" s="95"/>
      <c r="D988" s="95"/>
      <c r="E988" s="95"/>
      <c r="F988" s="95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2">
      <c r="A989" s="18"/>
      <c r="B989" s="95"/>
      <c r="C989" s="95"/>
      <c r="D989" s="95"/>
      <c r="E989" s="95"/>
      <c r="F989" s="95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E207"/>
  <sheetViews>
    <sheetView workbookViewId="0"/>
  </sheetViews>
  <sheetFormatPr defaultColWidth="12.6640625" defaultRowHeight="15.75" customHeight="1"/>
  <sheetData>
    <row r="1" spans="1:4">
      <c r="A1" s="10" t="s">
        <v>1191</v>
      </c>
      <c r="B1" s="10" t="s">
        <v>1192</v>
      </c>
      <c r="C1" s="10" t="s">
        <v>1193</v>
      </c>
      <c r="D1" s="10" t="s">
        <v>1194</v>
      </c>
    </row>
    <row r="2" spans="1:4">
      <c r="A2" s="10" t="s">
        <v>1196</v>
      </c>
      <c r="B2" s="10" t="s">
        <v>1199</v>
      </c>
      <c r="C2" s="10" t="s">
        <v>1200</v>
      </c>
      <c r="D2" s="10" t="s">
        <v>1201</v>
      </c>
    </row>
    <row r="3" spans="1:4">
      <c r="A3" s="10" t="s">
        <v>1196</v>
      </c>
      <c r="B3" s="10" t="s">
        <v>1203</v>
      </c>
      <c r="C3" s="10" t="s">
        <v>1204</v>
      </c>
      <c r="D3" s="10" t="s">
        <v>1205</v>
      </c>
    </row>
    <row r="4" spans="1:4">
      <c r="A4" s="10" t="s">
        <v>1196</v>
      </c>
      <c r="B4" s="10" t="s">
        <v>1209</v>
      </c>
      <c r="C4" s="10" t="s">
        <v>1210</v>
      </c>
      <c r="D4" s="10" t="s">
        <v>1211</v>
      </c>
    </row>
    <row r="5" spans="1:4">
      <c r="A5" s="10" t="s">
        <v>1196</v>
      </c>
      <c r="B5" s="10" t="s">
        <v>1212</v>
      </c>
      <c r="C5" s="10" t="s">
        <v>1213</v>
      </c>
      <c r="D5" s="10" t="s">
        <v>1214</v>
      </c>
    </row>
    <row r="6" spans="1:4">
      <c r="A6" s="10" t="s">
        <v>1196</v>
      </c>
      <c r="B6" s="10" t="s">
        <v>1215</v>
      </c>
      <c r="C6" s="10" t="s">
        <v>1216</v>
      </c>
      <c r="D6" s="10" t="s">
        <v>1217</v>
      </c>
    </row>
    <row r="7" spans="1:4">
      <c r="A7" s="10" t="s">
        <v>1196</v>
      </c>
      <c r="B7" s="10" t="s">
        <v>1219</v>
      </c>
      <c r="C7" s="10" t="s">
        <v>1220</v>
      </c>
      <c r="D7" s="10" t="s">
        <v>1221</v>
      </c>
    </row>
    <row r="8" spans="1:4">
      <c r="A8" s="10" t="s">
        <v>1196</v>
      </c>
      <c r="B8" s="10" t="s">
        <v>131</v>
      </c>
      <c r="C8" s="10" t="s">
        <v>1222</v>
      </c>
      <c r="D8" s="10" t="s">
        <v>1225</v>
      </c>
    </row>
    <row r="9" spans="1:4">
      <c r="A9" s="10" t="s">
        <v>1196</v>
      </c>
      <c r="B9" s="10" t="s">
        <v>1227</v>
      </c>
      <c r="C9" s="10" t="s">
        <v>1228</v>
      </c>
      <c r="D9" s="10" t="s">
        <v>1229</v>
      </c>
    </row>
    <row r="10" spans="1:4">
      <c r="A10" s="10" t="s">
        <v>1196</v>
      </c>
      <c r="B10" s="10" t="s">
        <v>1231</v>
      </c>
      <c r="C10" s="10" t="s">
        <v>1233</v>
      </c>
      <c r="D10" s="10" t="s">
        <v>1236</v>
      </c>
    </row>
    <row r="11" spans="1:4">
      <c r="A11" s="10" t="s">
        <v>1196</v>
      </c>
      <c r="B11" s="10" t="s">
        <v>1237</v>
      </c>
      <c r="C11" s="10" t="s">
        <v>1238</v>
      </c>
      <c r="D11" s="10" t="s">
        <v>1240</v>
      </c>
    </row>
    <row r="12" spans="1:4">
      <c r="A12" s="10" t="s">
        <v>1196</v>
      </c>
      <c r="B12" s="10" t="s">
        <v>1243</v>
      </c>
      <c r="C12" s="10" t="s">
        <v>1244</v>
      </c>
      <c r="D12" s="10" t="s">
        <v>1245</v>
      </c>
    </row>
    <row r="13" spans="1:4">
      <c r="A13" s="10" t="s">
        <v>1196</v>
      </c>
      <c r="B13" s="10" t="s">
        <v>1247</v>
      </c>
      <c r="C13" s="10" t="s">
        <v>1248</v>
      </c>
      <c r="D13" s="10" t="s">
        <v>1249</v>
      </c>
    </row>
    <row r="14" spans="1:4">
      <c r="A14" s="10" t="s">
        <v>1196</v>
      </c>
      <c r="B14" s="10" t="s">
        <v>1251</v>
      </c>
      <c r="C14" s="10" t="s">
        <v>1253</v>
      </c>
      <c r="D14" s="10" t="s">
        <v>1254</v>
      </c>
    </row>
    <row r="15" spans="1:4">
      <c r="A15" s="10" t="s">
        <v>1196</v>
      </c>
      <c r="B15" s="10" t="s">
        <v>1256</v>
      </c>
      <c r="C15" s="10" t="s">
        <v>1258</v>
      </c>
      <c r="D15" s="10" t="s">
        <v>1261</v>
      </c>
    </row>
    <row r="16" spans="1:4">
      <c r="A16" s="10" t="s">
        <v>1196</v>
      </c>
      <c r="B16" s="10" t="s">
        <v>1262</v>
      </c>
      <c r="C16" s="10" t="s">
        <v>1263</v>
      </c>
      <c r="D16" s="10" t="s">
        <v>1264</v>
      </c>
    </row>
    <row r="17" spans="1:4">
      <c r="A17" s="10" t="s">
        <v>1196</v>
      </c>
      <c r="B17" s="10" t="s">
        <v>1265</v>
      </c>
      <c r="C17" s="10" t="s">
        <v>1266</v>
      </c>
      <c r="D17" s="10" t="s">
        <v>1267</v>
      </c>
    </row>
    <row r="18" spans="1:4">
      <c r="A18" s="10" t="s">
        <v>1196</v>
      </c>
      <c r="B18" s="10" t="s">
        <v>1268</v>
      </c>
      <c r="C18" s="10" t="s">
        <v>1269</v>
      </c>
      <c r="D18" s="10" t="s">
        <v>1271</v>
      </c>
    </row>
    <row r="19" spans="1:4">
      <c r="A19" s="10" t="s">
        <v>1196</v>
      </c>
      <c r="B19" s="10" t="s">
        <v>1273</v>
      </c>
      <c r="C19" s="10" t="s">
        <v>1274</v>
      </c>
      <c r="D19" s="10" t="s">
        <v>1276</v>
      </c>
    </row>
    <row r="21" spans="1:4">
      <c r="A21" s="10" t="s">
        <v>1277</v>
      </c>
      <c r="B21" s="10" t="s">
        <v>1278</v>
      </c>
      <c r="C21" s="10" t="s">
        <v>1216</v>
      </c>
      <c r="D21" s="10" t="s">
        <v>1217</v>
      </c>
    </row>
    <row r="22" spans="1:4">
      <c r="A22" s="10" t="s">
        <v>1277</v>
      </c>
      <c r="B22" s="10" t="s">
        <v>1280</v>
      </c>
      <c r="C22" s="10" t="s">
        <v>1281</v>
      </c>
      <c r="D22" s="10" t="s">
        <v>1283</v>
      </c>
    </row>
    <row r="23" spans="1:4">
      <c r="A23" s="10" t="s">
        <v>1277</v>
      </c>
      <c r="B23" s="10" t="s">
        <v>1286</v>
      </c>
      <c r="C23" s="10" t="s">
        <v>1287</v>
      </c>
      <c r="D23" s="10" t="s">
        <v>1288</v>
      </c>
    </row>
    <row r="24" spans="1:4">
      <c r="A24" s="10" t="s">
        <v>1277</v>
      </c>
      <c r="B24" s="10" t="s">
        <v>1290</v>
      </c>
      <c r="C24" s="10" t="s">
        <v>1291</v>
      </c>
      <c r="D24" s="10" t="s">
        <v>1292</v>
      </c>
    </row>
    <row r="25" spans="1:4">
      <c r="A25" s="10" t="s">
        <v>1277</v>
      </c>
      <c r="B25" s="10" t="s">
        <v>1294</v>
      </c>
      <c r="C25" s="10" t="s">
        <v>1295</v>
      </c>
      <c r="D25" s="10" t="s">
        <v>1297</v>
      </c>
    </row>
    <row r="26" spans="1:4">
      <c r="A26" s="10" t="s">
        <v>1277</v>
      </c>
      <c r="B26" s="10" t="s">
        <v>1298</v>
      </c>
      <c r="C26" s="10" t="s">
        <v>1299</v>
      </c>
      <c r="D26" s="10" t="s">
        <v>1300</v>
      </c>
    </row>
    <row r="27" spans="1:4">
      <c r="A27" s="10" t="s">
        <v>1277</v>
      </c>
      <c r="B27" s="10" t="s">
        <v>1301</v>
      </c>
      <c r="C27" s="10" t="s">
        <v>1302</v>
      </c>
      <c r="D27" s="10" t="s">
        <v>1303</v>
      </c>
    </row>
    <row r="28" spans="1:4">
      <c r="A28" s="10" t="s">
        <v>1277</v>
      </c>
      <c r="B28" s="10" t="s">
        <v>1304</v>
      </c>
      <c r="C28" s="10" t="s">
        <v>1305</v>
      </c>
      <c r="D28" s="10" t="s">
        <v>1306</v>
      </c>
    </row>
    <row r="29" spans="1:4">
      <c r="A29" s="10" t="s">
        <v>1277</v>
      </c>
      <c r="B29" s="10" t="s">
        <v>1307</v>
      </c>
      <c r="C29" s="10" t="s">
        <v>1308</v>
      </c>
      <c r="D29" s="10" t="s">
        <v>1309</v>
      </c>
    </row>
    <row r="30" spans="1:4">
      <c r="A30" s="10" t="s">
        <v>1277</v>
      </c>
      <c r="B30" s="10" t="s">
        <v>1310</v>
      </c>
      <c r="C30" s="10" t="s">
        <v>1311</v>
      </c>
      <c r="D30" s="10" t="s">
        <v>1312</v>
      </c>
    </row>
    <row r="31" spans="1:4">
      <c r="A31" s="10" t="s">
        <v>1277</v>
      </c>
      <c r="B31" s="10" t="s">
        <v>1313</v>
      </c>
      <c r="C31" s="10" t="s">
        <v>1314</v>
      </c>
      <c r="D31" s="10" t="s">
        <v>1315</v>
      </c>
    </row>
    <row r="32" spans="1:4">
      <c r="A32" s="10" t="s">
        <v>1277</v>
      </c>
      <c r="B32" s="10" t="s">
        <v>1316</v>
      </c>
      <c r="C32" s="10" t="s">
        <v>1317</v>
      </c>
      <c r="D32" s="10" t="s">
        <v>1318</v>
      </c>
    </row>
    <row r="33" spans="1:4">
      <c r="A33" s="10" t="s">
        <v>1277</v>
      </c>
      <c r="B33" s="10" t="s">
        <v>1319</v>
      </c>
      <c r="C33" s="10" t="s">
        <v>1320</v>
      </c>
      <c r="D33" s="10" t="s">
        <v>1321</v>
      </c>
    </row>
    <row r="34" spans="1:4">
      <c r="A34" s="10" t="s">
        <v>1277</v>
      </c>
      <c r="B34" s="10" t="s">
        <v>1322</v>
      </c>
      <c r="C34" s="10" t="s">
        <v>1324</v>
      </c>
      <c r="D34" s="10" t="s">
        <v>1325</v>
      </c>
    </row>
    <row r="35" spans="1:4">
      <c r="A35" s="10" t="s">
        <v>1277</v>
      </c>
      <c r="B35" s="10" t="s">
        <v>1326</v>
      </c>
      <c r="C35" s="10" t="s">
        <v>1327</v>
      </c>
      <c r="D35" s="10" t="s">
        <v>1328</v>
      </c>
    </row>
    <row r="36" spans="1:4">
      <c r="A36" s="10" t="s">
        <v>1277</v>
      </c>
      <c r="B36" s="10" t="s">
        <v>1329</v>
      </c>
      <c r="C36" s="10" t="s">
        <v>1330</v>
      </c>
      <c r="D36" s="10" t="s">
        <v>1331</v>
      </c>
    </row>
    <row r="37" spans="1:4">
      <c r="A37" s="10" t="s">
        <v>1277</v>
      </c>
      <c r="B37" s="10" t="s">
        <v>1332</v>
      </c>
      <c r="C37" s="10" t="s">
        <v>1333</v>
      </c>
      <c r="D37" s="10" t="s">
        <v>1335</v>
      </c>
    </row>
    <row r="38" spans="1:4">
      <c r="A38" s="10" t="s">
        <v>1277</v>
      </c>
      <c r="B38" s="10" t="s">
        <v>1337</v>
      </c>
      <c r="C38" s="10" t="s">
        <v>1338</v>
      </c>
      <c r="D38" s="10" t="s">
        <v>1339</v>
      </c>
    </row>
    <row r="39" spans="1:4">
      <c r="A39" s="10" t="s">
        <v>1277</v>
      </c>
      <c r="B39" s="10" t="s">
        <v>1340</v>
      </c>
      <c r="C39" s="10" t="s">
        <v>1341</v>
      </c>
      <c r="D39" s="10" t="s">
        <v>1342</v>
      </c>
    </row>
    <row r="40" spans="1:4">
      <c r="A40" s="10" t="s">
        <v>1277</v>
      </c>
      <c r="B40" s="10" t="s">
        <v>1344</v>
      </c>
      <c r="C40" s="10" t="s">
        <v>1345</v>
      </c>
      <c r="D40" s="10" t="s">
        <v>1346</v>
      </c>
    </row>
    <row r="41" spans="1:4">
      <c r="A41" s="10" t="s">
        <v>1277</v>
      </c>
      <c r="B41" s="10" t="s">
        <v>1347</v>
      </c>
      <c r="C41" s="10" t="s">
        <v>1348</v>
      </c>
      <c r="D41" s="10" t="s">
        <v>1349</v>
      </c>
    </row>
    <row r="42" spans="1:4">
      <c r="A42" s="10" t="s">
        <v>1277</v>
      </c>
      <c r="B42" s="10" t="s">
        <v>1350</v>
      </c>
      <c r="C42" s="10" t="s">
        <v>1351</v>
      </c>
      <c r="D42" s="10" t="s">
        <v>1352</v>
      </c>
    </row>
    <row r="43" spans="1:4">
      <c r="A43" s="10" t="s">
        <v>1277</v>
      </c>
      <c r="B43" s="10" t="s">
        <v>1354</v>
      </c>
      <c r="C43" s="10" t="s">
        <v>1356</v>
      </c>
      <c r="D43" s="10" t="s">
        <v>1357</v>
      </c>
    </row>
    <row r="44" spans="1:4">
      <c r="A44" s="10" t="s">
        <v>1277</v>
      </c>
      <c r="B44" s="10" t="s">
        <v>1359</v>
      </c>
      <c r="C44" s="10" t="s">
        <v>1360</v>
      </c>
      <c r="D44" s="10" t="s">
        <v>1361</v>
      </c>
    </row>
    <row r="45" spans="1:4">
      <c r="A45" s="10" t="s">
        <v>1277</v>
      </c>
      <c r="B45" s="10" t="s">
        <v>1362</v>
      </c>
      <c r="C45" s="10" t="s">
        <v>1363</v>
      </c>
      <c r="D45" s="10" t="s">
        <v>1364</v>
      </c>
    </row>
    <row r="46" spans="1:4">
      <c r="A46" s="10" t="s">
        <v>1277</v>
      </c>
      <c r="B46" s="10" t="s">
        <v>1365</v>
      </c>
      <c r="C46" s="10" t="s">
        <v>1366</v>
      </c>
      <c r="D46" s="10" t="s">
        <v>1367</v>
      </c>
    </row>
    <row r="47" spans="1:4">
      <c r="A47" s="10" t="s">
        <v>1277</v>
      </c>
      <c r="B47" s="10" t="s">
        <v>1368</v>
      </c>
      <c r="C47" s="10" t="s">
        <v>1369</v>
      </c>
      <c r="D47" s="10" t="s">
        <v>1370</v>
      </c>
    </row>
    <row r="49" spans="1:4">
      <c r="A49" s="10" t="s">
        <v>1371</v>
      </c>
      <c r="B49" s="10" t="s">
        <v>1278</v>
      </c>
      <c r="C49" s="10" t="s">
        <v>1216</v>
      </c>
      <c r="D49" s="10" t="s">
        <v>1217</v>
      </c>
    </row>
    <row r="50" spans="1:4">
      <c r="A50" s="10" t="s">
        <v>1371</v>
      </c>
      <c r="B50" s="10" t="s">
        <v>1372</v>
      </c>
      <c r="C50" s="10" t="s">
        <v>1373</v>
      </c>
      <c r="D50" s="10" t="s">
        <v>1374</v>
      </c>
    </row>
    <row r="51" spans="1:4">
      <c r="A51" s="10" t="s">
        <v>1371</v>
      </c>
      <c r="B51" s="10" t="s">
        <v>1376</v>
      </c>
      <c r="C51" s="10" t="s">
        <v>1377</v>
      </c>
      <c r="D51" s="10" t="s">
        <v>1378</v>
      </c>
    </row>
    <row r="52" spans="1:4">
      <c r="A52" s="10" t="s">
        <v>1371</v>
      </c>
      <c r="B52" s="10" t="s">
        <v>1362</v>
      </c>
      <c r="C52" s="10" t="s">
        <v>1363</v>
      </c>
      <c r="D52" s="10" t="s">
        <v>1364</v>
      </c>
    </row>
    <row r="53" spans="1:4">
      <c r="A53" s="10" t="s">
        <v>1371</v>
      </c>
      <c r="B53" s="10" t="s">
        <v>1379</v>
      </c>
      <c r="C53" s="10" t="s">
        <v>1380</v>
      </c>
      <c r="D53" s="10" t="s">
        <v>1381</v>
      </c>
    </row>
    <row r="54" spans="1:4">
      <c r="A54" s="10" t="s">
        <v>1371</v>
      </c>
      <c r="B54" s="10" t="s">
        <v>1382</v>
      </c>
      <c r="C54" s="10" t="s">
        <v>1383</v>
      </c>
      <c r="D54" s="10" t="s">
        <v>1384</v>
      </c>
    </row>
    <row r="55" spans="1:4">
      <c r="A55" s="10" t="s">
        <v>1371</v>
      </c>
      <c r="B55" s="10" t="s">
        <v>1385</v>
      </c>
      <c r="C55" s="10" t="s">
        <v>1386</v>
      </c>
      <c r="D55" s="10" t="s">
        <v>1387</v>
      </c>
    </row>
    <row r="56" spans="1:4">
      <c r="A56" s="10" t="s">
        <v>1371</v>
      </c>
      <c r="B56" s="10" t="s">
        <v>1388</v>
      </c>
      <c r="C56" s="10" t="s">
        <v>1389</v>
      </c>
      <c r="D56" s="10" t="s">
        <v>1390</v>
      </c>
    </row>
    <row r="57" spans="1:4">
      <c r="A57" s="10" t="s">
        <v>1371</v>
      </c>
      <c r="B57" s="10" t="s">
        <v>1392</v>
      </c>
      <c r="C57" s="10" t="s">
        <v>1393</v>
      </c>
      <c r="D57" s="10" t="s">
        <v>1394</v>
      </c>
    </row>
    <row r="59" spans="1:4">
      <c r="A59" s="10" t="s">
        <v>1395</v>
      </c>
      <c r="B59" s="10" t="s">
        <v>1396</v>
      </c>
      <c r="C59" s="10" t="s">
        <v>1398</v>
      </c>
      <c r="D59" s="10" t="s">
        <v>1399</v>
      </c>
    </row>
    <row r="60" spans="1:4">
      <c r="A60" s="10" t="s">
        <v>1395</v>
      </c>
      <c r="B60" s="10" t="s">
        <v>1400</v>
      </c>
      <c r="C60" s="10" t="s">
        <v>1401</v>
      </c>
      <c r="D60" s="10" t="s">
        <v>1402</v>
      </c>
    </row>
    <row r="61" spans="1:4">
      <c r="A61" s="10" t="s">
        <v>1395</v>
      </c>
      <c r="B61" s="10" t="s">
        <v>1404</v>
      </c>
      <c r="C61" s="10" t="s">
        <v>1405</v>
      </c>
      <c r="D61" s="10" t="s">
        <v>1406</v>
      </c>
    </row>
    <row r="62" spans="1:4">
      <c r="A62" s="10" t="s">
        <v>1395</v>
      </c>
      <c r="B62" s="10" t="s">
        <v>1407</v>
      </c>
      <c r="C62" s="10" t="s">
        <v>1408</v>
      </c>
      <c r="D62" s="10" t="s">
        <v>1409</v>
      </c>
    </row>
    <row r="63" spans="1:4">
      <c r="A63" s="10" t="s">
        <v>1395</v>
      </c>
      <c r="B63" s="10" t="s">
        <v>1410</v>
      </c>
      <c r="C63" s="10" t="s">
        <v>1411</v>
      </c>
      <c r="D63" s="10" t="s">
        <v>1412</v>
      </c>
    </row>
    <row r="64" spans="1:4">
      <c r="A64" s="10" t="s">
        <v>1395</v>
      </c>
      <c r="B64" s="10" t="s">
        <v>1414</v>
      </c>
      <c r="C64" s="10" t="s">
        <v>1415</v>
      </c>
      <c r="D64" s="10" t="s">
        <v>1416</v>
      </c>
    </row>
    <row r="65" spans="1:4">
      <c r="A65" s="10" t="s">
        <v>1395</v>
      </c>
      <c r="B65" s="10" t="s">
        <v>1417</v>
      </c>
      <c r="C65" s="10" t="s">
        <v>1302</v>
      </c>
      <c r="D65" s="10" t="s">
        <v>1303</v>
      </c>
    </row>
    <row r="66" spans="1:4">
      <c r="A66" s="10" t="s">
        <v>1395</v>
      </c>
      <c r="B66" s="10" t="s">
        <v>1419</v>
      </c>
      <c r="C66" s="10" t="s">
        <v>1420</v>
      </c>
      <c r="D66" s="10" t="s">
        <v>1422</v>
      </c>
    </row>
    <row r="67" spans="1:4">
      <c r="A67" s="10" t="s">
        <v>1395</v>
      </c>
      <c r="B67" s="10" t="s">
        <v>1423</v>
      </c>
      <c r="C67" s="10" t="s">
        <v>1424</v>
      </c>
      <c r="D67" s="10" t="s">
        <v>1425</v>
      </c>
    </row>
    <row r="68" spans="1:4">
      <c r="A68" s="10" t="s">
        <v>1395</v>
      </c>
      <c r="B68" s="10" t="s">
        <v>1427</v>
      </c>
      <c r="C68" s="10" t="s">
        <v>1428</v>
      </c>
      <c r="D68" s="10" t="s">
        <v>1429</v>
      </c>
    </row>
    <row r="69" spans="1:4">
      <c r="A69" s="10" t="s">
        <v>1395</v>
      </c>
      <c r="B69" s="10" t="s">
        <v>1431</v>
      </c>
      <c r="C69" s="10" t="s">
        <v>1432</v>
      </c>
      <c r="D69" s="10" t="s">
        <v>1433</v>
      </c>
    </row>
    <row r="70" spans="1:4">
      <c r="A70" s="10" t="s">
        <v>1395</v>
      </c>
      <c r="B70" s="10" t="s">
        <v>1362</v>
      </c>
      <c r="C70" s="10" t="s">
        <v>1363</v>
      </c>
      <c r="D70" s="10" t="s">
        <v>1364</v>
      </c>
    </row>
    <row r="71" spans="1:4">
      <c r="A71" s="10" t="s">
        <v>1395</v>
      </c>
      <c r="B71" s="10" t="s">
        <v>1434</v>
      </c>
      <c r="C71" s="10" t="s">
        <v>1435</v>
      </c>
      <c r="D71" s="10" t="s">
        <v>1436</v>
      </c>
    </row>
    <row r="72" spans="1:4">
      <c r="A72" s="10" t="s">
        <v>1395</v>
      </c>
      <c r="B72" s="10" t="s">
        <v>1437</v>
      </c>
      <c r="C72" s="10" t="s">
        <v>1439</v>
      </c>
      <c r="D72" s="10" t="s">
        <v>1440</v>
      </c>
    </row>
    <row r="73" spans="1:4">
      <c r="A73" s="10" t="s">
        <v>1395</v>
      </c>
      <c r="B73" s="10" t="s">
        <v>1441</v>
      </c>
      <c r="C73" s="10" t="s">
        <v>1443</v>
      </c>
      <c r="D73" s="10" t="s">
        <v>1444</v>
      </c>
    </row>
    <row r="75" spans="1:4">
      <c r="A75" s="10" t="s">
        <v>1445</v>
      </c>
      <c r="B75" s="10" t="s">
        <v>1447</v>
      </c>
      <c r="C75" s="10" t="s">
        <v>1448</v>
      </c>
      <c r="D75" s="10" t="s">
        <v>1449</v>
      </c>
    </row>
    <row r="76" spans="1:4">
      <c r="A76" s="10" t="s">
        <v>1445</v>
      </c>
      <c r="B76" s="10" t="s">
        <v>1451</v>
      </c>
      <c r="C76" s="10" t="s">
        <v>1452</v>
      </c>
      <c r="D76" s="10" t="s">
        <v>1453</v>
      </c>
    </row>
    <row r="77" spans="1:4">
      <c r="A77" s="10" t="s">
        <v>1445</v>
      </c>
      <c r="B77" s="10" t="s">
        <v>1456</v>
      </c>
      <c r="C77" s="10" t="s">
        <v>1457</v>
      </c>
      <c r="D77" s="10" t="s">
        <v>1458</v>
      </c>
    </row>
    <row r="78" spans="1:4">
      <c r="A78" s="10" t="s">
        <v>1445</v>
      </c>
      <c r="B78" s="10" t="s">
        <v>1459</v>
      </c>
      <c r="C78" s="10" t="s">
        <v>1460</v>
      </c>
      <c r="D78" s="10" t="s">
        <v>1461</v>
      </c>
    </row>
    <row r="79" spans="1:4">
      <c r="A79" s="10" t="s">
        <v>1445</v>
      </c>
      <c r="B79" s="10" t="s">
        <v>1462</v>
      </c>
      <c r="C79" s="10" t="s">
        <v>1463</v>
      </c>
      <c r="D79" s="10" t="s">
        <v>1464</v>
      </c>
    </row>
    <row r="80" spans="1:4">
      <c r="A80" s="10" t="s">
        <v>1445</v>
      </c>
      <c r="B80" s="10" t="s">
        <v>1466</v>
      </c>
      <c r="C80" s="10" t="s">
        <v>1467</v>
      </c>
      <c r="D80" s="10" t="s">
        <v>1469</v>
      </c>
    </row>
    <row r="81" spans="1:4">
      <c r="A81" s="10" t="s">
        <v>1445</v>
      </c>
      <c r="B81" s="10" t="s">
        <v>1471</v>
      </c>
      <c r="C81" s="10" t="s">
        <v>1472</v>
      </c>
      <c r="D81" s="10" t="s">
        <v>1473</v>
      </c>
    </row>
    <row r="82" spans="1:4">
      <c r="A82" s="10" t="s">
        <v>1445</v>
      </c>
      <c r="B82" s="10" t="s">
        <v>1474</v>
      </c>
      <c r="C82" s="10" t="s">
        <v>1476</v>
      </c>
      <c r="D82" s="10" t="s">
        <v>1477</v>
      </c>
    </row>
    <row r="83" spans="1:4">
      <c r="A83" s="10" t="s">
        <v>1445</v>
      </c>
      <c r="B83" s="10" t="s">
        <v>1479</v>
      </c>
      <c r="C83" s="10" t="s">
        <v>1480</v>
      </c>
      <c r="D83" s="10" t="s">
        <v>1481</v>
      </c>
    </row>
    <row r="84" spans="1:4">
      <c r="A84" s="10" t="s">
        <v>1445</v>
      </c>
      <c r="B84" s="10" t="s">
        <v>1483</v>
      </c>
      <c r="C84" s="10" t="s">
        <v>1484</v>
      </c>
      <c r="D84" s="10" t="s">
        <v>1485</v>
      </c>
    </row>
    <row r="85" spans="1:4">
      <c r="A85" s="10" t="s">
        <v>1445</v>
      </c>
      <c r="B85" s="10" t="s">
        <v>1486</v>
      </c>
      <c r="C85" s="10" t="s">
        <v>1487</v>
      </c>
      <c r="D85" s="10" t="s">
        <v>1488</v>
      </c>
    </row>
    <row r="86" spans="1:4">
      <c r="A86" s="10" t="s">
        <v>1445</v>
      </c>
      <c r="B86" s="10" t="s">
        <v>1489</v>
      </c>
      <c r="C86" s="10" t="s">
        <v>1490</v>
      </c>
      <c r="D86" s="10" t="s">
        <v>1491</v>
      </c>
    </row>
    <row r="87" spans="1:4">
      <c r="A87" s="10" t="s">
        <v>1445</v>
      </c>
      <c r="B87" s="10" t="s">
        <v>1493</v>
      </c>
      <c r="C87" s="10" t="s">
        <v>1494</v>
      </c>
      <c r="D87" s="10" t="s">
        <v>1495</v>
      </c>
    </row>
    <row r="88" spans="1:4">
      <c r="A88" s="10" t="s">
        <v>1445</v>
      </c>
      <c r="B88" s="10" t="s">
        <v>1497</v>
      </c>
      <c r="C88" s="10" t="s">
        <v>1498</v>
      </c>
      <c r="D88" s="10" t="s">
        <v>1499</v>
      </c>
    </row>
    <row r="89" spans="1:4">
      <c r="A89" s="10" t="s">
        <v>1445</v>
      </c>
      <c r="B89" s="10" t="s">
        <v>1501</v>
      </c>
      <c r="C89" s="10" t="s">
        <v>1502</v>
      </c>
      <c r="D89" s="10" t="s">
        <v>1504</v>
      </c>
    </row>
    <row r="91" spans="1:4">
      <c r="A91" s="10" t="s">
        <v>1505</v>
      </c>
      <c r="B91" s="10" t="s">
        <v>1278</v>
      </c>
      <c r="C91" s="10" t="s">
        <v>1216</v>
      </c>
      <c r="D91" s="10" t="s">
        <v>1217</v>
      </c>
    </row>
    <row r="92" spans="1:4">
      <c r="A92" s="10" t="s">
        <v>1505</v>
      </c>
      <c r="B92" s="10" t="s">
        <v>1508</v>
      </c>
      <c r="C92" s="10" t="s">
        <v>1509</v>
      </c>
      <c r="D92" s="10" t="s">
        <v>1510</v>
      </c>
    </row>
    <row r="93" spans="1:4">
      <c r="A93" s="10" t="s">
        <v>1505</v>
      </c>
      <c r="B93" s="10" t="s">
        <v>1511</v>
      </c>
      <c r="C93" s="10" t="s">
        <v>1512</v>
      </c>
      <c r="D93" s="10" t="s">
        <v>1513</v>
      </c>
    </row>
    <row r="94" spans="1:4">
      <c r="A94" s="10" t="s">
        <v>1505</v>
      </c>
      <c r="B94" s="10" t="s">
        <v>1514</v>
      </c>
      <c r="C94" s="10" t="s">
        <v>1515</v>
      </c>
      <c r="D94" s="10" t="s">
        <v>1516</v>
      </c>
    </row>
    <row r="95" spans="1:4">
      <c r="A95" s="10" t="s">
        <v>1505</v>
      </c>
      <c r="B95" s="10" t="s">
        <v>1518</v>
      </c>
      <c r="C95" s="10" t="s">
        <v>1519</v>
      </c>
      <c r="D95" s="10" t="s">
        <v>1520</v>
      </c>
    </row>
    <row r="96" spans="1:4">
      <c r="A96" s="10" t="s">
        <v>1505</v>
      </c>
      <c r="B96" s="10" t="s">
        <v>1522</v>
      </c>
      <c r="C96" s="10" t="s">
        <v>1523</v>
      </c>
      <c r="D96" s="10" t="s">
        <v>1524</v>
      </c>
    </row>
    <row r="97" spans="1:4">
      <c r="A97" s="10" t="s">
        <v>1505</v>
      </c>
      <c r="B97" s="10" t="s">
        <v>1526</v>
      </c>
      <c r="C97" s="10" t="s">
        <v>1527</v>
      </c>
      <c r="D97" s="10" t="s">
        <v>1529</v>
      </c>
    </row>
    <row r="98" spans="1:4">
      <c r="A98" s="10" t="s">
        <v>1505</v>
      </c>
      <c r="B98" s="10" t="s">
        <v>1530</v>
      </c>
      <c r="C98" s="10" t="s">
        <v>1531</v>
      </c>
      <c r="D98" s="10" t="s">
        <v>1533</v>
      </c>
    </row>
    <row r="99" spans="1:4">
      <c r="A99" s="10" t="s">
        <v>1505</v>
      </c>
      <c r="B99" s="10" t="s">
        <v>1534</v>
      </c>
      <c r="C99" s="10" t="s">
        <v>1536</v>
      </c>
      <c r="D99" s="10" t="s">
        <v>1537</v>
      </c>
    </row>
    <row r="100" spans="1:4">
      <c r="A100" s="10" t="s">
        <v>1505</v>
      </c>
      <c r="B100" s="10" t="s">
        <v>1539</v>
      </c>
      <c r="C100" s="10" t="s">
        <v>1540</v>
      </c>
      <c r="D100" s="10" t="s">
        <v>1541</v>
      </c>
    </row>
    <row r="101" spans="1:4">
      <c r="A101" s="10" t="s">
        <v>1505</v>
      </c>
      <c r="B101" s="10" t="s">
        <v>1542</v>
      </c>
      <c r="C101" s="10" t="s">
        <v>1543</v>
      </c>
      <c r="D101" s="10" t="s">
        <v>1544</v>
      </c>
    </row>
    <row r="102" spans="1:4">
      <c r="A102" s="10" t="s">
        <v>1505</v>
      </c>
      <c r="B102" s="10" t="s">
        <v>1545</v>
      </c>
      <c r="C102" s="10" t="s">
        <v>1546</v>
      </c>
      <c r="D102" s="10" t="s">
        <v>1547</v>
      </c>
    </row>
    <row r="103" spans="1:4">
      <c r="A103" s="10" t="s">
        <v>1505</v>
      </c>
      <c r="B103" s="10" t="s">
        <v>1549</v>
      </c>
      <c r="C103" s="10" t="s">
        <v>1550</v>
      </c>
      <c r="D103" s="10" t="s">
        <v>1551</v>
      </c>
    </row>
    <row r="104" spans="1:4">
      <c r="A104" s="10" t="s">
        <v>1505</v>
      </c>
      <c r="B104" s="10" t="s">
        <v>1552</v>
      </c>
      <c r="C104" s="10" t="s">
        <v>1554</v>
      </c>
      <c r="D104" s="10" t="s">
        <v>1555</v>
      </c>
    </row>
    <row r="105" spans="1:4">
      <c r="A105" s="10" t="s">
        <v>1505</v>
      </c>
      <c r="B105" s="10" t="s">
        <v>1556</v>
      </c>
      <c r="C105" s="10" t="s">
        <v>1557</v>
      </c>
      <c r="D105" s="10" t="s">
        <v>1558</v>
      </c>
    </row>
    <row r="106" spans="1:4">
      <c r="A106" s="10" t="s">
        <v>1505</v>
      </c>
      <c r="B106" s="10" t="s">
        <v>1559</v>
      </c>
      <c r="C106" s="10" t="s">
        <v>1560</v>
      </c>
      <c r="D106" s="10" t="s">
        <v>1561</v>
      </c>
    </row>
    <row r="108" spans="1:4">
      <c r="A108" s="10" t="s">
        <v>1562</v>
      </c>
      <c r="B108" s="10" t="s">
        <v>1563</v>
      </c>
      <c r="C108" s="10" t="s">
        <v>1564</v>
      </c>
      <c r="D108" s="10" t="s">
        <v>1565</v>
      </c>
    </row>
    <row r="109" spans="1:4">
      <c r="A109" s="10" t="s">
        <v>1562</v>
      </c>
      <c r="B109" s="10" t="s">
        <v>1567</v>
      </c>
      <c r="C109" s="10" t="s">
        <v>1568</v>
      </c>
      <c r="D109" s="10" t="s">
        <v>1569</v>
      </c>
    </row>
    <row r="110" spans="1:4">
      <c r="A110" s="10" t="s">
        <v>1562</v>
      </c>
      <c r="B110" s="10" t="s">
        <v>1571</v>
      </c>
      <c r="C110" s="10" t="s">
        <v>1572</v>
      </c>
      <c r="D110" s="10" t="s">
        <v>1573</v>
      </c>
    </row>
    <row r="111" spans="1:4">
      <c r="A111" s="10" t="s">
        <v>1562</v>
      </c>
      <c r="B111" s="10" t="s">
        <v>1530</v>
      </c>
      <c r="C111" s="10" t="s">
        <v>1531</v>
      </c>
      <c r="D111" s="10" t="s">
        <v>1533</v>
      </c>
    </row>
    <row r="112" spans="1:4">
      <c r="A112" s="10" t="s">
        <v>1562</v>
      </c>
      <c r="B112" s="10" t="s">
        <v>1575</v>
      </c>
      <c r="C112" s="10" t="s">
        <v>1576</v>
      </c>
      <c r="D112" s="10" t="s">
        <v>1577</v>
      </c>
    </row>
    <row r="113" spans="1:4">
      <c r="A113" s="10" t="s">
        <v>1562</v>
      </c>
      <c r="B113" s="10" t="s">
        <v>1578</v>
      </c>
      <c r="C113" s="10" t="s">
        <v>1579</v>
      </c>
      <c r="D113" s="10" t="s">
        <v>1580</v>
      </c>
    </row>
    <row r="114" spans="1:4">
      <c r="A114" s="10" t="s">
        <v>1562</v>
      </c>
      <c r="B114" s="10" t="s">
        <v>1559</v>
      </c>
      <c r="C114" s="10" t="s">
        <v>1560</v>
      </c>
      <c r="D114" s="10" t="s">
        <v>1561</v>
      </c>
    </row>
    <row r="115" spans="1:4">
      <c r="A115" s="10" t="s">
        <v>1562</v>
      </c>
      <c r="B115" s="10" t="s">
        <v>1583</v>
      </c>
      <c r="C115" s="10" t="s">
        <v>1584</v>
      </c>
      <c r="D115" s="10" t="s">
        <v>1585</v>
      </c>
    </row>
    <row r="116" spans="1:4">
      <c r="A116" s="10" t="s">
        <v>1562</v>
      </c>
      <c r="B116" s="10" t="s">
        <v>1451</v>
      </c>
      <c r="C116" s="10" t="s">
        <v>1452</v>
      </c>
      <c r="D116" s="10" t="s">
        <v>1453</v>
      </c>
    </row>
    <row r="117" spans="1:4">
      <c r="A117" s="10" t="s">
        <v>1562</v>
      </c>
      <c r="B117" s="10" t="s">
        <v>1587</v>
      </c>
      <c r="C117" s="10" t="s">
        <v>1588</v>
      </c>
      <c r="D117" s="10" t="s">
        <v>1589</v>
      </c>
    </row>
    <row r="119" spans="1:4">
      <c r="A119" s="10" t="s">
        <v>1590</v>
      </c>
      <c r="B119" s="10" t="s">
        <v>1278</v>
      </c>
      <c r="C119" s="10" t="s">
        <v>1216</v>
      </c>
      <c r="D119" s="10" t="s">
        <v>1217</v>
      </c>
    </row>
    <row r="120" spans="1:4">
      <c r="A120" s="10" t="s">
        <v>1590</v>
      </c>
      <c r="B120" s="10" t="s">
        <v>1592</v>
      </c>
      <c r="C120" s="10" t="s">
        <v>1593</v>
      </c>
      <c r="D120" s="10" t="s">
        <v>1595</v>
      </c>
    </row>
    <row r="121" spans="1:4">
      <c r="A121" s="10" t="s">
        <v>1590</v>
      </c>
      <c r="B121" s="10" t="s">
        <v>1596</v>
      </c>
      <c r="C121" s="10" t="s">
        <v>1598</v>
      </c>
      <c r="D121" s="10" t="s">
        <v>1599</v>
      </c>
    </row>
    <row r="122" spans="1:4">
      <c r="A122" s="10" t="s">
        <v>1590</v>
      </c>
      <c r="B122" s="10" t="s">
        <v>1600</v>
      </c>
      <c r="C122" s="10" t="s">
        <v>1601</v>
      </c>
      <c r="D122" s="10" t="s">
        <v>1602</v>
      </c>
    </row>
    <row r="123" spans="1:4">
      <c r="A123" s="10" t="s">
        <v>1590</v>
      </c>
      <c r="B123" s="10" t="s">
        <v>1603</v>
      </c>
      <c r="C123" s="10" t="s">
        <v>1604</v>
      </c>
      <c r="D123" s="10" t="s">
        <v>1605</v>
      </c>
    </row>
    <row r="124" spans="1:4">
      <c r="A124" s="10" t="s">
        <v>1590</v>
      </c>
      <c r="B124" s="10" t="s">
        <v>1607</v>
      </c>
      <c r="C124" s="10" t="s">
        <v>1608</v>
      </c>
      <c r="D124" s="10" t="s">
        <v>1609</v>
      </c>
    </row>
    <row r="125" spans="1:4">
      <c r="A125" s="10" t="s">
        <v>1590</v>
      </c>
      <c r="B125" s="10" t="s">
        <v>1362</v>
      </c>
      <c r="C125" s="10" t="s">
        <v>1363</v>
      </c>
      <c r="D125" s="10" t="s">
        <v>1364</v>
      </c>
    </row>
    <row r="127" spans="1:4">
      <c r="A127" s="10" t="s">
        <v>1612</v>
      </c>
      <c r="B127" s="10" t="s">
        <v>1613</v>
      </c>
      <c r="C127" s="10" t="s">
        <v>1614</v>
      </c>
      <c r="D127" s="10" t="s">
        <v>1615</v>
      </c>
    </row>
    <row r="128" spans="1:4">
      <c r="A128" s="10" t="s">
        <v>1612</v>
      </c>
      <c r="B128" s="10" t="s">
        <v>1616</v>
      </c>
      <c r="C128" s="10" t="s">
        <v>1617</v>
      </c>
      <c r="D128" s="10" t="s">
        <v>1618</v>
      </c>
    </row>
    <row r="129" spans="1:5">
      <c r="A129" s="10" t="s">
        <v>1612</v>
      </c>
      <c r="B129" s="10" t="s">
        <v>1620</v>
      </c>
      <c r="C129" s="10" t="s">
        <v>1621</v>
      </c>
      <c r="D129" s="10" t="s">
        <v>1622</v>
      </c>
    </row>
    <row r="130" spans="1:5">
      <c r="A130" s="10" t="s">
        <v>1612</v>
      </c>
      <c r="B130" s="10" t="s">
        <v>1623</v>
      </c>
      <c r="C130" s="10" t="s">
        <v>1624</v>
      </c>
      <c r="D130" s="10" t="s">
        <v>1626</v>
      </c>
    </row>
    <row r="131" spans="1:5">
      <c r="A131" s="10" t="s">
        <v>1612</v>
      </c>
      <c r="B131" s="10" t="s">
        <v>1627</v>
      </c>
      <c r="C131" s="10" t="s">
        <v>1629</v>
      </c>
      <c r="D131" s="10" t="s">
        <v>1630</v>
      </c>
    </row>
    <row r="132" spans="1:5">
      <c r="A132" s="10" t="s">
        <v>1612</v>
      </c>
      <c r="B132" s="10" t="s">
        <v>1631</v>
      </c>
      <c r="C132" s="10" t="s">
        <v>1632</v>
      </c>
      <c r="D132" s="10" t="s">
        <v>1633</v>
      </c>
    </row>
    <row r="133" spans="1:5">
      <c r="A133" s="10" t="s">
        <v>1612</v>
      </c>
      <c r="B133" s="10" t="s">
        <v>1634</v>
      </c>
      <c r="C133" s="10" t="s">
        <v>1635</v>
      </c>
      <c r="D133" s="10" t="s">
        <v>1636</v>
      </c>
      <c r="E133" s="10" t="s">
        <v>1637</v>
      </c>
    </row>
    <row r="134" spans="1:5">
      <c r="A134" s="10" t="s">
        <v>1612</v>
      </c>
      <c r="B134" s="10" t="s">
        <v>1638</v>
      </c>
      <c r="C134" s="10" t="s">
        <v>1640</v>
      </c>
      <c r="D134" s="10" t="s">
        <v>1641</v>
      </c>
      <c r="E134" s="10" t="s">
        <v>1642</v>
      </c>
    </row>
    <row r="135" spans="1:5">
      <c r="A135" s="10" t="s">
        <v>1612</v>
      </c>
      <c r="B135" s="10" t="s">
        <v>1644</v>
      </c>
      <c r="C135" s="10" t="s">
        <v>1645</v>
      </c>
      <c r="D135" s="10" t="s">
        <v>1646</v>
      </c>
    </row>
    <row r="136" spans="1:5">
      <c r="A136" s="10" t="s">
        <v>1612</v>
      </c>
      <c r="B136" s="10" t="s">
        <v>1647</v>
      </c>
      <c r="C136" s="10" t="s">
        <v>1649</v>
      </c>
      <c r="D136" s="10" t="s">
        <v>1650</v>
      </c>
    </row>
    <row r="137" spans="1:5">
      <c r="A137" s="10" t="s">
        <v>1612</v>
      </c>
      <c r="B137" s="10" t="s">
        <v>1651</v>
      </c>
      <c r="C137" s="10" t="s">
        <v>1652</v>
      </c>
      <c r="D137" s="10" t="s">
        <v>1653</v>
      </c>
    </row>
    <row r="139" spans="1:5">
      <c r="A139" s="10" t="s">
        <v>1654</v>
      </c>
      <c r="B139" s="10" t="s">
        <v>1655</v>
      </c>
      <c r="C139" s="10" t="s">
        <v>1656</v>
      </c>
      <c r="D139" s="10" t="s">
        <v>1657</v>
      </c>
    </row>
    <row r="140" spans="1:5">
      <c r="A140" s="10" t="s">
        <v>1654</v>
      </c>
      <c r="B140" s="10" t="s">
        <v>1659</v>
      </c>
      <c r="C140" s="10" t="s">
        <v>1660</v>
      </c>
      <c r="D140" s="10" t="s">
        <v>1662</v>
      </c>
    </row>
    <row r="141" spans="1:5">
      <c r="A141" s="10" t="s">
        <v>1654</v>
      </c>
      <c r="B141" s="10" t="s">
        <v>1663</v>
      </c>
      <c r="C141" s="10" t="s">
        <v>1664</v>
      </c>
      <c r="D141" s="10" t="s">
        <v>1666</v>
      </c>
    </row>
    <row r="142" spans="1:5">
      <c r="A142" s="10" t="s">
        <v>1654</v>
      </c>
      <c r="B142" s="10" t="s">
        <v>1667</v>
      </c>
      <c r="C142" s="10" t="s">
        <v>1668</v>
      </c>
      <c r="D142" s="10" t="s">
        <v>1669</v>
      </c>
    </row>
    <row r="143" spans="1:5">
      <c r="A143" s="10" t="s">
        <v>1654</v>
      </c>
      <c r="B143" s="10" t="s">
        <v>1670</v>
      </c>
      <c r="C143" s="10" t="s">
        <v>1671</v>
      </c>
      <c r="D143" s="10" t="s">
        <v>1672</v>
      </c>
    </row>
    <row r="144" spans="1:5">
      <c r="A144" s="10" t="s">
        <v>1654</v>
      </c>
      <c r="B144" s="10" t="s">
        <v>1673</v>
      </c>
      <c r="C144" s="10" t="s">
        <v>1674</v>
      </c>
      <c r="D144" s="10" t="s">
        <v>1675</v>
      </c>
    </row>
    <row r="145" spans="1:4">
      <c r="A145" s="10" t="s">
        <v>1654</v>
      </c>
      <c r="B145" s="10" t="s">
        <v>1677</v>
      </c>
      <c r="C145" s="10" t="s">
        <v>1678</v>
      </c>
      <c r="D145" s="10" t="s">
        <v>1680</v>
      </c>
    </row>
    <row r="146" spans="1:4">
      <c r="A146" s="10" t="s">
        <v>1654</v>
      </c>
      <c r="B146" s="10" t="s">
        <v>1372</v>
      </c>
      <c r="C146" s="10" t="s">
        <v>1373</v>
      </c>
      <c r="D146" s="10" t="s">
        <v>1374</v>
      </c>
    </row>
    <row r="147" spans="1:4">
      <c r="A147" s="10" t="s">
        <v>1654</v>
      </c>
      <c r="B147" s="10" t="s">
        <v>1682</v>
      </c>
      <c r="C147" s="10" t="s">
        <v>1683</v>
      </c>
      <c r="D147" s="10" t="s">
        <v>1684</v>
      </c>
    </row>
    <row r="148" spans="1:4">
      <c r="A148" s="10" t="s">
        <v>1654</v>
      </c>
      <c r="B148" s="10" t="s">
        <v>1685</v>
      </c>
      <c r="C148" s="10" t="s">
        <v>1686</v>
      </c>
      <c r="D148" s="10" t="s">
        <v>1687</v>
      </c>
    </row>
    <row r="150" spans="1:4">
      <c r="A150" s="10" t="s">
        <v>1688</v>
      </c>
      <c r="B150" s="10" t="s">
        <v>1689</v>
      </c>
      <c r="C150" s="10" t="s">
        <v>1691</v>
      </c>
      <c r="D150" s="10" t="s">
        <v>1692</v>
      </c>
    </row>
    <row r="151" spans="1:4">
      <c r="A151" s="10" t="s">
        <v>1688</v>
      </c>
      <c r="B151" s="10" t="s">
        <v>1459</v>
      </c>
      <c r="C151" s="10" t="s">
        <v>1694</v>
      </c>
      <c r="D151" s="10" t="s">
        <v>1695</v>
      </c>
    </row>
    <row r="152" spans="1:4">
      <c r="A152" s="10" t="s">
        <v>1688</v>
      </c>
      <c r="B152" s="10" t="s">
        <v>1697</v>
      </c>
      <c r="C152" s="10" t="s">
        <v>1698</v>
      </c>
      <c r="D152" s="10" t="s">
        <v>1699</v>
      </c>
    </row>
    <row r="153" spans="1:4">
      <c r="A153" s="10" t="s">
        <v>1688</v>
      </c>
      <c r="B153" s="10" t="s">
        <v>1700</v>
      </c>
      <c r="C153" s="10" t="s">
        <v>1701</v>
      </c>
      <c r="D153" s="10" t="s">
        <v>1702</v>
      </c>
    </row>
    <row r="154" spans="1:4">
      <c r="A154" s="10" t="s">
        <v>1688</v>
      </c>
      <c r="B154" s="10" t="s">
        <v>1703</v>
      </c>
      <c r="C154" s="10" t="s">
        <v>1704</v>
      </c>
      <c r="D154" s="10" t="s">
        <v>1705</v>
      </c>
    </row>
    <row r="155" spans="1:4">
      <c r="A155" s="10" t="s">
        <v>1688</v>
      </c>
      <c r="B155" s="10" t="s">
        <v>1706</v>
      </c>
      <c r="C155" s="10" t="s">
        <v>1707</v>
      </c>
      <c r="D155" s="10" t="s">
        <v>1708</v>
      </c>
    </row>
    <row r="156" spans="1:4">
      <c r="A156" s="10" t="s">
        <v>1688</v>
      </c>
      <c r="B156" s="10" t="s">
        <v>1709</v>
      </c>
      <c r="C156" s="10" t="s">
        <v>1710</v>
      </c>
      <c r="D156" s="10" t="s">
        <v>1711</v>
      </c>
    </row>
    <row r="157" spans="1:4">
      <c r="A157" s="10" t="s">
        <v>1688</v>
      </c>
      <c r="B157" s="10" t="s">
        <v>1712</v>
      </c>
      <c r="C157" s="10" t="s">
        <v>1713</v>
      </c>
      <c r="D157" s="10" t="s">
        <v>1714</v>
      </c>
    </row>
    <row r="159" spans="1:4">
      <c r="A159" s="10" t="s">
        <v>30</v>
      </c>
      <c r="B159" s="10" t="s">
        <v>1575</v>
      </c>
      <c r="C159" s="10" t="s">
        <v>1576</v>
      </c>
      <c r="D159" s="10" t="s">
        <v>1577</v>
      </c>
    </row>
    <row r="160" spans="1:4">
      <c r="A160" s="10" t="s">
        <v>30</v>
      </c>
      <c r="B160" s="10" t="s">
        <v>1362</v>
      </c>
      <c r="C160" s="10" t="s">
        <v>1363</v>
      </c>
      <c r="D160" s="10" t="s">
        <v>1364</v>
      </c>
    </row>
    <row r="161" spans="1:4">
      <c r="A161" s="10" t="s">
        <v>30</v>
      </c>
      <c r="B161" s="10" t="s">
        <v>1718</v>
      </c>
      <c r="C161" s="10" t="s">
        <v>1719</v>
      </c>
      <c r="D161" s="10" t="s">
        <v>1720</v>
      </c>
    </row>
    <row r="162" spans="1:4">
      <c r="A162" s="10" t="s">
        <v>30</v>
      </c>
      <c r="B162" s="10" t="s">
        <v>1559</v>
      </c>
      <c r="C162" s="10" t="s">
        <v>1560</v>
      </c>
      <c r="D162" s="10" t="s">
        <v>1561</v>
      </c>
    </row>
    <row r="163" spans="1:4">
      <c r="A163" s="10" t="s">
        <v>30</v>
      </c>
      <c r="B163" s="10" t="s">
        <v>1721</v>
      </c>
      <c r="C163" s="10" t="s">
        <v>1722</v>
      </c>
      <c r="D163" s="10" t="s">
        <v>1723</v>
      </c>
    </row>
    <row r="164" spans="1:4">
      <c r="A164" s="10" t="s">
        <v>30</v>
      </c>
      <c r="B164" s="10" t="s">
        <v>1724</v>
      </c>
      <c r="C164" s="10" t="s">
        <v>1725</v>
      </c>
      <c r="D164" s="10" t="s">
        <v>1726</v>
      </c>
    </row>
    <row r="165" spans="1:4">
      <c r="A165" s="10" t="s">
        <v>30</v>
      </c>
      <c r="B165" s="10" t="s">
        <v>1727</v>
      </c>
      <c r="C165" s="10" t="s">
        <v>1728</v>
      </c>
      <c r="D165" s="10" t="s">
        <v>1729</v>
      </c>
    </row>
    <row r="166" spans="1:4">
      <c r="A166" s="10" t="s">
        <v>30</v>
      </c>
      <c r="B166" s="10" t="s">
        <v>1365</v>
      </c>
      <c r="C166" s="10" t="s">
        <v>1366</v>
      </c>
      <c r="D166" s="10" t="s">
        <v>1367</v>
      </c>
    </row>
    <row r="167" spans="1:4">
      <c r="A167" s="10" t="s">
        <v>30</v>
      </c>
      <c r="B167" s="10" t="s">
        <v>1730</v>
      </c>
      <c r="C167" s="10" t="s">
        <v>1435</v>
      </c>
      <c r="D167" s="10" t="s">
        <v>1436</v>
      </c>
    </row>
    <row r="169" spans="1:4">
      <c r="A169" s="10" t="s">
        <v>1731</v>
      </c>
      <c r="B169" s="10" t="s">
        <v>1732</v>
      </c>
      <c r="C169" s="10" t="s">
        <v>1733</v>
      </c>
      <c r="D169" s="10" t="s">
        <v>1734</v>
      </c>
    </row>
    <row r="170" spans="1:4">
      <c r="A170" s="10" t="s">
        <v>1731</v>
      </c>
      <c r="B170" s="10" t="s">
        <v>1735</v>
      </c>
      <c r="C170" s="10" t="s">
        <v>1736</v>
      </c>
      <c r="D170" s="10" t="s">
        <v>1737</v>
      </c>
    </row>
    <row r="171" spans="1:4">
      <c r="A171" s="10" t="s">
        <v>1731</v>
      </c>
      <c r="B171" s="10" t="s">
        <v>1738</v>
      </c>
      <c r="C171" s="10" t="s">
        <v>1739</v>
      </c>
      <c r="D171" s="10" t="s">
        <v>1740</v>
      </c>
    </row>
    <row r="172" spans="1:4">
      <c r="A172" s="10" t="s">
        <v>1731</v>
      </c>
      <c r="B172" s="10" t="s">
        <v>1741</v>
      </c>
      <c r="C172" s="10" t="s">
        <v>1742</v>
      </c>
      <c r="D172" s="10" t="s">
        <v>1743</v>
      </c>
    </row>
    <row r="173" spans="1:4">
      <c r="A173" s="10" t="s">
        <v>1731</v>
      </c>
      <c r="B173" s="10" t="s">
        <v>1744</v>
      </c>
      <c r="C173" s="10" t="s">
        <v>1745</v>
      </c>
      <c r="D173" s="10" t="s">
        <v>1746</v>
      </c>
    </row>
    <row r="174" spans="1:4">
      <c r="A174" s="10" t="s">
        <v>1731</v>
      </c>
      <c r="B174" s="10" t="s">
        <v>1747</v>
      </c>
      <c r="C174" s="10" t="s">
        <v>1748</v>
      </c>
      <c r="D174" s="10" t="s">
        <v>1749</v>
      </c>
    </row>
    <row r="175" spans="1:4">
      <c r="A175" s="10" t="s">
        <v>1731</v>
      </c>
      <c r="B175" s="10" t="s">
        <v>1750</v>
      </c>
      <c r="C175" s="10" t="s">
        <v>1751</v>
      </c>
      <c r="D175" s="10" t="s">
        <v>1752</v>
      </c>
    </row>
    <row r="176" spans="1:4">
      <c r="A176" s="10" t="s">
        <v>1731</v>
      </c>
      <c r="B176" s="10" t="s">
        <v>1753</v>
      </c>
      <c r="C176" s="10" t="s">
        <v>1754</v>
      </c>
      <c r="D176" s="10" t="s">
        <v>1755</v>
      </c>
    </row>
    <row r="177" spans="1:4">
      <c r="A177" s="10" t="s">
        <v>1731</v>
      </c>
      <c r="B177" s="10" t="s">
        <v>1756</v>
      </c>
      <c r="C177" s="10" t="s">
        <v>1757</v>
      </c>
      <c r="D177" s="10" t="s">
        <v>1758</v>
      </c>
    </row>
    <row r="179" spans="1:4">
      <c r="A179" s="10" t="s">
        <v>1759</v>
      </c>
      <c r="B179" s="10" t="s">
        <v>1760</v>
      </c>
      <c r="C179" s="10" t="s">
        <v>1761</v>
      </c>
      <c r="D179" s="10" t="s">
        <v>1762</v>
      </c>
    </row>
    <row r="180" spans="1:4">
      <c r="A180" s="10" t="s">
        <v>1759</v>
      </c>
      <c r="B180" s="10" t="s">
        <v>1763</v>
      </c>
      <c r="C180" s="10" t="s">
        <v>1764</v>
      </c>
      <c r="D180" s="10" t="s">
        <v>1765</v>
      </c>
    </row>
    <row r="181" spans="1:4">
      <c r="A181" s="10" t="s">
        <v>1759</v>
      </c>
      <c r="B181" s="10" t="s">
        <v>1766</v>
      </c>
      <c r="C181" s="10" t="s">
        <v>1767</v>
      </c>
      <c r="D181" s="10" t="s">
        <v>1768</v>
      </c>
    </row>
    <row r="182" spans="1:4">
      <c r="A182" s="10" t="s">
        <v>1759</v>
      </c>
      <c r="B182" s="10" t="s">
        <v>1769</v>
      </c>
      <c r="C182" s="10" t="s">
        <v>1770</v>
      </c>
      <c r="D182" s="10" t="s">
        <v>1771</v>
      </c>
    </row>
    <row r="183" spans="1:4">
      <c r="A183" s="10" t="s">
        <v>1759</v>
      </c>
      <c r="B183" s="10" t="s">
        <v>1772</v>
      </c>
      <c r="C183" s="10" t="s">
        <v>1773</v>
      </c>
      <c r="D183" s="10" t="s">
        <v>1774</v>
      </c>
    </row>
    <row r="184" spans="1:4">
      <c r="A184" s="10" t="s">
        <v>1759</v>
      </c>
      <c r="B184" s="10" t="s">
        <v>1775</v>
      </c>
      <c r="C184" s="10" t="s">
        <v>1776</v>
      </c>
      <c r="D184" s="10" t="s">
        <v>1777</v>
      </c>
    </row>
    <row r="185" spans="1:4">
      <c r="A185" s="10" t="s">
        <v>1759</v>
      </c>
      <c r="B185" s="10" t="s">
        <v>1778</v>
      </c>
      <c r="C185" s="10" t="s">
        <v>1779</v>
      </c>
      <c r="D185" s="10" t="s">
        <v>1780</v>
      </c>
    </row>
    <row r="186" spans="1:4">
      <c r="A186" s="10" t="s">
        <v>1759</v>
      </c>
      <c r="B186" s="10" t="s">
        <v>1781</v>
      </c>
      <c r="C186" s="10" t="s">
        <v>1782</v>
      </c>
      <c r="D186" s="10" t="s">
        <v>1783</v>
      </c>
    </row>
    <row r="187" spans="1:4">
      <c r="A187" s="10" t="s">
        <v>1759</v>
      </c>
      <c r="B187" s="10" t="s">
        <v>1784</v>
      </c>
      <c r="C187" s="10" t="s">
        <v>1785</v>
      </c>
      <c r="D187" s="10" t="s">
        <v>1786</v>
      </c>
    </row>
    <row r="188" spans="1:4">
      <c r="A188" s="10" t="s">
        <v>1759</v>
      </c>
      <c r="B188" s="10" t="s">
        <v>1562</v>
      </c>
      <c r="C188" s="10" t="s">
        <v>1787</v>
      </c>
      <c r="D188" s="10" t="s">
        <v>1788</v>
      </c>
    </row>
    <row r="189" spans="1:4">
      <c r="A189" s="10" t="s">
        <v>1759</v>
      </c>
      <c r="B189" s="10" t="s">
        <v>1590</v>
      </c>
      <c r="C189" s="10" t="s">
        <v>1789</v>
      </c>
      <c r="D189" s="10" t="s">
        <v>1790</v>
      </c>
    </row>
    <row r="190" spans="1:4">
      <c r="A190" s="10" t="s">
        <v>1759</v>
      </c>
      <c r="B190" s="10" t="s">
        <v>1445</v>
      </c>
      <c r="C190" s="10" t="s">
        <v>1791</v>
      </c>
      <c r="D190" s="10" t="s">
        <v>1792</v>
      </c>
    </row>
    <row r="191" spans="1:4">
      <c r="A191" s="10" t="s">
        <v>1759</v>
      </c>
      <c r="B191" s="10" t="s">
        <v>1277</v>
      </c>
      <c r="C191" s="10" t="s">
        <v>1793</v>
      </c>
      <c r="D191" s="10" t="s">
        <v>1794</v>
      </c>
    </row>
    <row r="192" spans="1:4">
      <c r="A192" s="10" t="s">
        <v>1759</v>
      </c>
      <c r="B192" s="10" t="s">
        <v>1795</v>
      </c>
      <c r="C192" s="10" t="s">
        <v>1796</v>
      </c>
      <c r="D192" s="10" t="s">
        <v>1797</v>
      </c>
    </row>
    <row r="193" spans="1:4">
      <c r="A193" s="10" t="s">
        <v>1759</v>
      </c>
      <c r="B193" s="10" t="s">
        <v>1634</v>
      </c>
      <c r="C193" s="10" t="s">
        <v>1635</v>
      </c>
      <c r="D193" s="10" t="s">
        <v>1637</v>
      </c>
    </row>
    <row r="194" spans="1:4">
      <c r="A194" s="10" t="s">
        <v>1759</v>
      </c>
      <c r="B194" s="10" t="s">
        <v>1638</v>
      </c>
      <c r="C194" s="10" t="s">
        <v>1640</v>
      </c>
      <c r="D194" s="10" t="s">
        <v>1642</v>
      </c>
    </row>
    <row r="195" spans="1:4">
      <c r="A195" s="10" t="s">
        <v>1759</v>
      </c>
      <c r="B195" s="10" t="s">
        <v>1798</v>
      </c>
      <c r="C195" s="10" t="s">
        <v>1645</v>
      </c>
      <c r="D195" s="10" t="s">
        <v>1646</v>
      </c>
    </row>
    <row r="196" spans="1:4">
      <c r="A196" s="10" t="s">
        <v>1759</v>
      </c>
      <c r="B196" s="10" t="s">
        <v>1799</v>
      </c>
      <c r="C196" s="10" t="s">
        <v>1800</v>
      </c>
      <c r="D196" s="10" t="s">
        <v>1801</v>
      </c>
    </row>
    <row r="197" spans="1:4">
      <c r="A197" s="10" t="s">
        <v>1759</v>
      </c>
      <c r="B197" s="10" t="s">
        <v>1802</v>
      </c>
      <c r="C197" s="10" t="s">
        <v>1803</v>
      </c>
      <c r="D197" s="10" t="s">
        <v>1804</v>
      </c>
    </row>
    <row r="198" spans="1:4">
      <c r="A198" s="10" t="s">
        <v>1759</v>
      </c>
      <c r="B198" s="10" t="s">
        <v>1805</v>
      </c>
      <c r="C198" s="10" t="s">
        <v>1806</v>
      </c>
      <c r="D198" s="10" t="s">
        <v>1807</v>
      </c>
    </row>
    <row r="199" spans="1:4">
      <c r="A199" s="10" t="s">
        <v>1759</v>
      </c>
      <c r="B199" s="10" t="s">
        <v>1808</v>
      </c>
      <c r="C199" s="10" t="s">
        <v>1809</v>
      </c>
      <c r="D199" s="10" t="s">
        <v>1810</v>
      </c>
    </row>
    <row r="200" spans="1:4">
      <c r="A200" s="10" t="s">
        <v>1759</v>
      </c>
      <c r="B200" s="10" t="s">
        <v>1811</v>
      </c>
      <c r="C200" s="10" t="s">
        <v>1812</v>
      </c>
      <c r="D200" s="10" t="s">
        <v>1813</v>
      </c>
    </row>
    <row r="201" spans="1:4">
      <c r="A201" s="10" t="s">
        <v>1759</v>
      </c>
      <c r="B201" s="10" t="s">
        <v>1814</v>
      </c>
      <c r="C201" s="10" t="s">
        <v>1815</v>
      </c>
      <c r="D201" s="10" t="s">
        <v>1816</v>
      </c>
    </row>
    <row r="202" spans="1:4">
      <c r="A202" s="10" t="s">
        <v>1759</v>
      </c>
      <c r="B202" s="10" t="s">
        <v>1817</v>
      </c>
      <c r="C202" s="10" t="s">
        <v>1818</v>
      </c>
      <c r="D202" s="10" t="s">
        <v>1819</v>
      </c>
    </row>
    <row r="203" spans="1:4">
      <c r="A203" s="10" t="s">
        <v>1759</v>
      </c>
      <c r="B203" s="10" t="s">
        <v>1820</v>
      </c>
      <c r="C203" s="10" t="s">
        <v>1821</v>
      </c>
      <c r="D203" s="10" t="s">
        <v>1822</v>
      </c>
    </row>
    <row r="204" spans="1:4">
      <c r="A204" s="10" t="s">
        <v>1759</v>
      </c>
      <c r="B204" s="10" t="s">
        <v>1823</v>
      </c>
      <c r="C204" s="10" t="s">
        <v>1824</v>
      </c>
      <c r="D204" s="10" t="s">
        <v>1825</v>
      </c>
    </row>
    <row r="205" spans="1:4">
      <c r="A205" s="10" t="s">
        <v>1759</v>
      </c>
      <c r="B205" s="10" t="s">
        <v>1826</v>
      </c>
      <c r="C205" s="10" t="s">
        <v>1827</v>
      </c>
      <c r="D205" s="10" t="s">
        <v>1828</v>
      </c>
    </row>
    <row r="206" spans="1:4">
      <c r="A206" s="10" t="s">
        <v>1759</v>
      </c>
      <c r="B206" s="10" t="s">
        <v>1829</v>
      </c>
      <c r="C206" s="10" t="s">
        <v>1830</v>
      </c>
      <c r="D206" s="10" t="s">
        <v>1831</v>
      </c>
    </row>
    <row r="207" spans="1:4">
      <c r="A207" s="10" t="s">
        <v>1759</v>
      </c>
      <c r="B207" s="10" t="s">
        <v>1832</v>
      </c>
      <c r="C207" s="10" t="s">
        <v>1833</v>
      </c>
      <c r="D207" s="10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Timeline</vt:lpstr>
      <vt:lpstr>Accomodations</vt:lpstr>
      <vt:lpstr>Transport Summary</vt:lpstr>
      <vt:lpstr>19-10 Day 1</vt:lpstr>
      <vt:lpstr>20-10 Day 2</vt:lpstr>
      <vt:lpstr>21-10 Day 3</vt:lpstr>
      <vt:lpstr>22-10 Day 4</vt:lpstr>
      <vt:lpstr>23-10 Day 5</vt:lpstr>
      <vt:lpstr>24-10 Day 6</vt:lpstr>
      <vt:lpstr>25-10 Day 7</vt:lpstr>
      <vt:lpstr>26-10 Day 8</vt:lpstr>
      <vt:lpstr>27-10 Day 9</vt:lpstr>
      <vt:lpstr>28-10 Day 10</vt:lpstr>
      <vt:lpstr>29-10 Day 11</vt:lpstr>
      <vt:lpstr>30-10 Day 12</vt:lpstr>
      <vt:lpstr>31-10 Day 13</vt:lpstr>
      <vt:lpstr>01-11 Day 14</vt:lpstr>
      <vt:lpstr>02-11 Day 15 Departure</vt:lpstr>
      <vt:lpstr>Luggage Forwarding</vt:lpstr>
      <vt:lpstr>Useful 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RoyX13</cp:lastModifiedBy>
  <dcterms:modified xsi:type="dcterms:W3CDTF">2026-09-13T04:59:00Z</dcterms:modified>
</cp:coreProperties>
</file>